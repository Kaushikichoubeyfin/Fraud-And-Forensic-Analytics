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aushiki choubey\Desktop\Badri Sir2\FM\Excel Sheets\"/>
    </mc:Choice>
  </mc:AlternateContent>
  <xr:revisionPtr revIDLastSave="0" documentId="8_{79FEAA65-A340-4EB6-83C6-C62055F2BD6A}" xr6:coauthVersionLast="47" xr6:coauthVersionMax="47" xr10:uidLastSave="{00000000-0000-0000-0000-000000000000}"/>
  <bookViews>
    <workbookView xWindow="-108" yWindow="-108" windowWidth="23256" windowHeight="12456" xr2:uid="{AB102445-13CA-456E-8FE2-17DC6484D4AB}"/>
  </bookViews>
  <sheets>
    <sheet name="Ans 1" sheetId="1" r:id="rId1"/>
  </sheets>
  <externalReferences>
    <externalReference r:id="rId2"/>
    <externalReference r:id="rId3"/>
    <externalReference r:id="rId4"/>
  </externalReferences>
  <definedNames>
    <definedName name="a">#REF!</definedName>
    <definedName name="alpha1">#REF!</definedName>
    <definedName name="alpha2">#REF!</definedName>
    <definedName name="alpha3">#REF!</definedName>
    <definedName name="b">#REF!</definedName>
    <definedName name="beta">#REF!</definedName>
    <definedName name="c_">#REF!</definedName>
    <definedName name="Call">'[2]UN16A, UN16B'!$B$15</definedName>
    <definedName name="cashflows">#REF!</definedName>
    <definedName name="d">#REF!</definedName>
    <definedName name="implied_call_volatility">[2]UN16F!$B$13</definedName>
    <definedName name="interest">[2]UN16C!$B$6</definedName>
    <definedName name="prices">#REF!</definedName>
    <definedName name="r_">[2]UN16C!$B$6</definedName>
    <definedName name="S">[2]UN16C!$B$3</definedName>
    <definedName name="sigma">[2]UN16C!$B$7</definedName>
    <definedName name="t">'[3]Nawalkha-Soto example'!$B$6</definedName>
    <definedName name="target_call_price">[2]UN16F!$B$11</definedName>
    <definedName name="X">[2]UN16C!$B$4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8" i="1" l="1"/>
  <c r="C48" i="1"/>
  <c r="S47" i="1"/>
  <c r="C47" i="1"/>
  <c r="S46" i="1"/>
  <c r="C46" i="1"/>
  <c r="S45" i="1"/>
  <c r="C45" i="1"/>
  <c r="S44" i="1"/>
  <c r="C44" i="1"/>
  <c r="S43" i="1"/>
  <c r="C43" i="1"/>
  <c r="S42" i="1"/>
  <c r="C42" i="1"/>
  <c r="S41" i="1"/>
  <c r="C41" i="1"/>
  <c r="S40" i="1"/>
  <c r="C40" i="1"/>
  <c r="S39" i="1"/>
  <c r="C39" i="1"/>
  <c r="S38" i="1"/>
  <c r="C38" i="1"/>
  <c r="S37" i="1"/>
  <c r="C37" i="1"/>
  <c r="S36" i="1"/>
  <c r="C36" i="1"/>
  <c r="W35" i="1"/>
  <c r="S35" i="1"/>
  <c r="G35" i="1"/>
  <c r="E35" i="1"/>
  <c r="C35" i="1"/>
  <c r="W34" i="1"/>
  <c r="S34" i="1"/>
  <c r="G34" i="1"/>
  <c r="E34" i="1"/>
  <c r="C34" i="1"/>
  <c r="W33" i="1"/>
  <c r="S33" i="1"/>
  <c r="G33" i="1"/>
  <c r="C33" i="1"/>
  <c r="W32" i="1"/>
  <c r="S32" i="1"/>
  <c r="G32" i="1"/>
  <c r="E32" i="1"/>
  <c r="C32" i="1"/>
  <c r="W31" i="1"/>
  <c r="S31" i="1"/>
  <c r="G31" i="1"/>
  <c r="E31" i="1"/>
  <c r="C31" i="1"/>
  <c r="W30" i="1"/>
  <c r="S30" i="1"/>
  <c r="G30" i="1"/>
  <c r="E30" i="1"/>
  <c r="C30" i="1"/>
  <c r="W29" i="1"/>
  <c r="S29" i="1"/>
  <c r="G29" i="1"/>
  <c r="E29" i="1"/>
  <c r="C29" i="1"/>
  <c r="W28" i="1"/>
  <c r="S28" i="1"/>
  <c r="G28" i="1"/>
  <c r="E28" i="1"/>
  <c r="C28" i="1"/>
  <c r="W27" i="1"/>
  <c r="S27" i="1"/>
  <c r="U34" i="1" s="1"/>
  <c r="G27" i="1"/>
  <c r="E27" i="1"/>
  <c r="C27" i="1"/>
  <c r="E33" i="1" s="1"/>
  <c r="S20" i="1"/>
  <c r="C20" i="1"/>
  <c r="S19" i="1"/>
  <c r="C19" i="1"/>
  <c r="S18" i="1"/>
  <c r="C18" i="1"/>
  <c r="S17" i="1"/>
  <c r="C17" i="1"/>
  <c r="S16" i="1"/>
  <c r="C16" i="1"/>
  <c r="S15" i="1"/>
  <c r="C15" i="1"/>
  <c r="S14" i="1"/>
  <c r="C14" i="1"/>
  <c r="S13" i="1"/>
  <c r="C13" i="1"/>
  <c r="S12" i="1"/>
  <c r="C12" i="1"/>
  <c r="W11" i="1"/>
  <c r="S11" i="1"/>
  <c r="G11" i="1"/>
  <c r="E11" i="1"/>
  <c r="C11" i="1"/>
  <c r="W10" i="1"/>
  <c r="S10" i="1"/>
  <c r="G10" i="1"/>
  <c r="E10" i="1"/>
  <c r="C10" i="1"/>
  <c r="W9" i="1"/>
  <c r="S9" i="1"/>
  <c r="G9" i="1"/>
  <c r="E9" i="1"/>
  <c r="C9" i="1"/>
  <c r="W8" i="1"/>
  <c r="S8" i="1"/>
  <c r="G8" i="1"/>
  <c r="C8" i="1"/>
  <c r="W7" i="1"/>
  <c r="S7" i="1"/>
  <c r="G7" i="1"/>
  <c r="E7" i="1"/>
  <c r="C7" i="1"/>
  <c r="W6" i="1"/>
  <c r="S6" i="1"/>
  <c r="G6" i="1"/>
  <c r="E6" i="1"/>
  <c r="C6" i="1"/>
  <c r="W5" i="1"/>
  <c r="S5" i="1"/>
  <c r="G5" i="1"/>
  <c r="E5" i="1"/>
  <c r="C5" i="1"/>
  <c r="W4" i="1"/>
  <c r="S4" i="1"/>
  <c r="G4" i="1"/>
  <c r="C4" i="1"/>
  <c r="W3" i="1"/>
  <c r="S3" i="1"/>
  <c r="U9" i="1" s="1"/>
  <c r="G3" i="1"/>
  <c r="E3" i="1"/>
  <c r="C3" i="1"/>
  <c r="E8" i="1" s="1"/>
  <c r="F28" i="1" l="1"/>
  <c r="H28" i="1" s="1"/>
  <c r="F30" i="1"/>
  <c r="H30" i="1" s="1"/>
  <c r="F35" i="1"/>
  <c r="H35" i="1" s="1"/>
  <c r="E36" i="1"/>
  <c r="F33" i="1" s="1"/>
  <c r="H33" i="1" s="1"/>
  <c r="F32" i="1"/>
  <c r="H32" i="1" s="1"/>
  <c r="F29" i="1"/>
  <c r="H29" i="1" s="1"/>
  <c r="F34" i="1"/>
  <c r="H34" i="1" s="1"/>
  <c r="E4" i="1"/>
  <c r="E12" i="1" s="1"/>
  <c r="U6" i="1"/>
  <c r="U10" i="1"/>
  <c r="U27" i="1"/>
  <c r="U31" i="1"/>
  <c r="U35" i="1"/>
  <c r="U3" i="1"/>
  <c r="U7" i="1"/>
  <c r="U11" i="1"/>
  <c r="U28" i="1"/>
  <c r="U32" i="1"/>
  <c r="U4" i="1"/>
  <c r="U8" i="1"/>
  <c r="F27" i="1"/>
  <c r="H27" i="1" s="1"/>
  <c r="U29" i="1"/>
  <c r="U33" i="1"/>
  <c r="U5" i="1"/>
  <c r="U30" i="1"/>
  <c r="F7" i="1" l="1"/>
  <c r="H7" i="1" s="1"/>
  <c r="F8" i="1"/>
  <c r="H8" i="1" s="1"/>
  <c r="F3" i="1"/>
  <c r="H3" i="1" s="1"/>
  <c r="F9" i="1"/>
  <c r="H9" i="1" s="1"/>
  <c r="F6" i="1"/>
  <c r="H6" i="1" s="1"/>
  <c r="F11" i="1"/>
  <c r="H11" i="1" s="1"/>
  <c r="F10" i="1"/>
  <c r="H10" i="1" s="1"/>
  <c r="F5" i="1"/>
  <c r="H5" i="1" s="1"/>
  <c r="V5" i="1"/>
  <c r="X5" i="1" s="1"/>
  <c r="V11" i="1"/>
  <c r="X11" i="1" s="1"/>
  <c r="U36" i="1"/>
  <c r="V34" i="1" s="1"/>
  <c r="X34" i="1" s="1"/>
  <c r="V7" i="1"/>
  <c r="X7" i="1" s="1"/>
  <c r="F4" i="1"/>
  <c r="H4" i="1" s="1"/>
  <c r="U12" i="1"/>
  <c r="V9" i="1" s="1"/>
  <c r="X9" i="1" s="1"/>
  <c r="F31" i="1"/>
  <c r="H31" i="1" s="1"/>
  <c r="V35" i="1" l="1"/>
  <c r="X35" i="1" s="1"/>
  <c r="V6" i="1"/>
  <c r="X6" i="1" s="1"/>
  <c r="V32" i="1"/>
  <c r="X32" i="1" s="1"/>
  <c r="V30" i="1"/>
  <c r="X30" i="1" s="1"/>
  <c r="V28" i="1"/>
  <c r="X28" i="1" s="1"/>
  <c r="V3" i="1"/>
  <c r="X3" i="1" s="1"/>
  <c r="V10" i="1"/>
  <c r="X10" i="1" s="1"/>
  <c r="V4" i="1"/>
  <c r="X4" i="1" s="1"/>
  <c r="V33" i="1"/>
  <c r="X33" i="1" s="1"/>
  <c r="V31" i="1"/>
  <c r="X31" i="1" s="1"/>
  <c r="V29" i="1"/>
  <c r="X29" i="1" s="1"/>
  <c r="V27" i="1"/>
  <c r="X27" i="1" s="1"/>
  <c r="V8" i="1"/>
  <c r="X8" i="1" s="1"/>
</calcChain>
</file>

<file path=xl/sharedStrings.xml><?xml version="1.0" encoding="utf-8"?>
<sst xmlns="http://schemas.openxmlformats.org/spreadsheetml/2006/main" count="75" uniqueCount="45">
  <si>
    <t>P&amp;L</t>
  </si>
  <si>
    <t>Mar-23</t>
  </si>
  <si>
    <t>First Digit</t>
  </si>
  <si>
    <t>Leading Digit</t>
  </si>
  <si>
    <t>Actual count</t>
  </si>
  <si>
    <t>Actual%</t>
  </si>
  <si>
    <t>Bendford %</t>
  </si>
  <si>
    <t>Dev</t>
  </si>
  <si>
    <t>Mar-24</t>
  </si>
  <si>
    <t>-</t>
  </si>
  <si>
    <t>Balance Sheet</t>
  </si>
  <si>
    <t>4,08,830</t>
  </si>
  <si>
    <t>5,16,170</t>
  </si>
  <si>
    <t>4,05,750</t>
  </si>
  <si>
    <t>5,10,840</t>
  </si>
  <si>
    <t>3,080</t>
  </si>
  <si>
    <t>5,330</t>
  </si>
  <si>
    <t>3,64,370</t>
  </si>
  <si>
    <t>4,69,950</t>
  </si>
  <si>
    <t>2,68,910</t>
  </si>
  <si>
    <t>3,61,040</t>
  </si>
  <si>
    <t>56,980</t>
  </si>
  <si>
    <t>59,990</t>
  </si>
  <si>
    <t>-22,340</t>
  </si>
  <si>
    <t>-26,710</t>
  </si>
  <si>
    <t>16,470</t>
  </si>
  <si>
    <t>18,640</t>
  </si>
  <si>
    <t>3,000</t>
  </si>
  <si>
    <t>6,190</t>
  </si>
  <si>
    <t>4,410</t>
  </si>
  <si>
    <t>5,840</t>
  </si>
  <si>
    <t>36,940</t>
  </si>
  <si>
    <t>44,960</t>
  </si>
  <si>
    <t>10</t>
  </si>
  <si>
    <t>44,470</t>
  </si>
  <si>
    <t>46,230</t>
  </si>
  <si>
    <t>11,730</t>
  </si>
  <si>
    <t>11,270</t>
  </si>
  <si>
    <t>11,470</t>
  </si>
  <si>
    <t>11,010</t>
  </si>
  <si>
    <t>260</t>
  </si>
  <si>
    <t>32,740</t>
  </si>
  <si>
    <t>34,960</t>
  </si>
  <si>
    <t>36.61</t>
  </si>
  <si>
    <t>39.40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</si>
</sst>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0" xfId="0" applyFill="1"/>
    <xf numFmtId="0" fontId="1" fillId="3" borderId="0" xfId="0" applyFont="1" applyFill="1"/>
    <xf numFmtId="3" fontId="2" fillId="3" borderId="0" xfId="0" applyNumberFormat="1" applyFont="1" applyFill="1"/>
    <xf numFmtId="10" fontId="0" fillId="0" borderId="0" xfId="0" applyNumberFormat="1"/>
    <xf numFmtId="2" fontId="0" fillId="0" borderId="0" xfId="0" applyNumberFormat="1"/>
    <xf numFmtId="3" fontId="3" fillId="3" borderId="0" xfId="0" applyNumberFormat="1" applyFont="1" applyFill="1"/>
    <xf numFmtId="0" fontId="4" fillId="0" borderId="0" xfId="0" applyFont="1"/>
    <xf numFmtId="10" fontId="4" fillId="0" borderId="0" xfId="0" applyNumberFormat="1" applyFont="1"/>
    <xf numFmtId="2" fontId="4" fillId="0" borderId="0" xfId="0" applyNumberFormat="1" applyFont="1"/>
    <xf numFmtId="0" fontId="3" fillId="3" borderId="0" xfId="0" applyFont="1" applyFill="1"/>
    <xf numFmtId="0" fontId="4" fillId="2" borderId="0" xfId="0" applyFont="1" applyFill="1"/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P&amp;L 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'Ans 1'!$F$2</c:f>
              <c:strCache>
                <c:ptCount val="1"/>
                <c:pt idx="0">
                  <c:v>Actual%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'Ans 1'!$F$3:$F$11</c:f>
              <c:numCache>
                <c:formatCode>0.00%</c:formatCode>
                <c:ptCount val="9"/>
                <c:pt idx="0">
                  <c:v>0.35294117647058826</c:v>
                </c:pt>
                <c:pt idx="1">
                  <c:v>0.23529411764705882</c:v>
                </c:pt>
                <c:pt idx="2">
                  <c:v>5.8823529411764705E-2</c:v>
                </c:pt>
                <c:pt idx="3">
                  <c:v>5.8823529411764705E-2</c:v>
                </c:pt>
                <c:pt idx="4">
                  <c:v>0</c:v>
                </c:pt>
                <c:pt idx="5">
                  <c:v>5.8823529411764705E-2</c:v>
                </c:pt>
                <c:pt idx="6">
                  <c:v>0.11764705882352941</c:v>
                </c:pt>
                <c:pt idx="7">
                  <c:v>5.8823529411764705E-2</c:v>
                </c:pt>
                <c:pt idx="8">
                  <c:v>5.8823529411764705E-2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36-47F5-906F-752FDB665CAA}"/>
            </c:ext>
          </c:extLst>
        </c:ser>
        <c:ser>
          <c:idx val="1"/>
          <c:order val="1"/>
          <c:tx>
            <c:strRef>
              <c:f>'Ans 1'!$G$2</c:f>
              <c:strCache>
                <c:ptCount val="1"/>
                <c:pt idx="0">
                  <c:v>Bendford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'Ans 1'!$G$3:$G$11</c:f>
              <c:numCache>
                <c:formatCode>0.00%</c:formatCode>
                <c:ptCount val="9"/>
                <c:pt idx="0">
                  <c:v>0.3010299956639812</c:v>
                </c:pt>
                <c:pt idx="1">
                  <c:v>0.17609125905568124</c:v>
                </c:pt>
                <c:pt idx="2">
                  <c:v>0.12493873660829996</c:v>
                </c:pt>
                <c:pt idx="3">
                  <c:v>9.6910013008056461E-2</c:v>
                </c:pt>
                <c:pt idx="4">
                  <c:v>7.9181246047624776E-2</c:v>
                </c:pt>
                <c:pt idx="5">
                  <c:v>6.6946789630613179E-2</c:v>
                </c:pt>
                <c:pt idx="6">
                  <c:v>5.7991946977686726E-2</c:v>
                </c:pt>
                <c:pt idx="7">
                  <c:v>5.1152522447381332E-2</c:v>
                </c:pt>
                <c:pt idx="8">
                  <c:v>4.5757490560675129E-2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36-47F5-906F-752FDB665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4445808"/>
        <c:axId val="1274442928"/>
      </c:lineChart>
      <c:catAx>
        <c:axId val="1274445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42928"/>
        <c:crosses val="autoZero"/>
        <c:auto val="1"/>
        <c:lblAlgn val="ctr"/>
        <c:lblOffset val="100"/>
        <c:noMultiLvlLbl val="0"/>
      </c:catAx>
      <c:valAx>
        <c:axId val="127444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44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BS</a:t>
            </a:r>
            <a:r>
              <a:rPr lang="en-IN" baseline="0"/>
              <a:t> 23</a:t>
            </a:r>
            <a:endParaRPr lang="en-IN"/>
          </a:p>
        </c:rich>
      </c:tx>
      <c:layout>
        <c:manualLayout>
          <c:xMode val="edge"/>
          <c:yMode val="edge"/>
          <c:x val="0.40671522309711289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'Ans 1'!$F$26</c:f>
              <c:strCache>
                <c:ptCount val="1"/>
                <c:pt idx="0">
                  <c:v>Actual%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'Ans 1'!$F$27:$F$35</c:f>
              <c:numCache>
                <c:formatCode>0.00%</c:formatCode>
                <c:ptCount val="9"/>
                <c:pt idx="0">
                  <c:v>0.2</c:v>
                </c:pt>
                <c:pt idx="1">
                  <c:v>0.1</c:v>
                </c:pt>
                <c:pt idx="2">
                  <c:v>0.4</c:v>
                </c:pt>
                <c:pt idx="3">
                  <c:v>0.25</c:v>
                </c:pt>
                <c:pt idx="4">
                  <c:v>0.05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B4-4938-ADD3-0EF8BEC13273}"/>
            </c:ext>
          </c:extLst>
        </c:ser>
        <c:ser>
          <c:idx val="1"/>
          <c:order val="1"/>
          <c:tx>
            <c:strRef>
              <c:f>'Ans 1'!$G$26</c:f>
              <c:strCache>
                <c:ptCount val="1"/>
                <c:pt idx="0">
                  <c:v>Bendford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'Ans 1'!$G$27:$G$35</c:f>
              <c:numCache>
                <c:formatCode>0.00%</c:formatCode>
                <c:ptCount val="9"/>
                <c:pt idx="0">
                  <c:v>0.3010299956639812</c:v>
                </c:pt>
                <c:pt idx="1">
                  <c:v>0.17609125905568124</c:v>
                </c:pt>
                <c:pt idx="2">
                  <c:v>0.12493873660829996</c:v>
                </c:pt>
                <c:pt idx="3">
                  <c:v>9.6910013008056461E-2</c:v>
                </c:pt>
                <c:pt idx="4">
                  <c:v>7.9181246047624776E-2</c:v>
                </c:pt>
                <c:pt idx="5">
                  <c:v>6.6946789630613179E-2</c:v>
                </c:pt>
                <c:pt idx="6">
                  <c:v>5.7991946977686726E-2</c:v>
                </c:pt>
                <c:pt idx="7">
                  <c:v>5.1152522447381332E-2</c:v>
                </c:pt>
                <c:pt idx="8">
                  <c:v>4.5757490560675129E-2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B4-4938-ADD3-0EF8BEC132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1530480"/>
        <c:axId val="1381529520"/>
      </c:lineChart>
      <c:catAx>
        <c:axId val="1381530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529520"/>
        <c:crosses val="autoZero"/>
        <c:auto val="1"/>
        <c:lblAlgn val="ctr"/>
        <c:lblOffset val="100"/>
        <c:noMultiLvlLbl val="0"/>
      </c:catAx>
      <c:valAx>
        <c:axId val="138152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53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P&amp;L  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'Ans 1'!$V$2</c:f>
              <c:strCache>
                <c:ptCount val="1"/>
                <c:pt idx="0">
                  <c:v>Actual%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'Ans 1'!$V$3:$V$11</c:f>
              <c:numCache>
                <c:formatCode>0.00%</c:formatCode>
                <c:ptCount val="9"/>
                <c:pt idx="0">
                  <c:v>0.27777777777777779</c:v>
                </c:pt>
                <c:pt idx="1">
                  <c:v>0.1111111111111111</c:v>
                </c:pt>
                <c:pt idx="2">
                  <c:v>0.22222222222222221</c:v>
                </c:pt>
                <c:pt idx="3">
                  <c:v>0</c:v>
                </c:pt>
                <c:pt idx="4">
                  <c:v>0.1111111111111111</c:v>
                </c:pt>
                <c:pt idx="5">
                  <c:v>0</c:v>
                </c:pt>
                <c:pt idx="6">
                  <c:v>5.5555555555555552E-2</c:v>
                </c:pt>
                <c:pt idx="7">
                  <c:v>0.16666666666666666</c:v>
                </c:pt>
                <c:pt idx="8">
                  <c:v>5.5555555555555552E-2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34-4569-B71C-6E3EE4A4FAA3}"/>
            </c:ext>
          </c:extLst>
        </c:ser>
        <c:ser>
          <c:idx val="1"/>
          <c:order val="1"/>
          <c:tx>
            <c:strRef>
              <c:f>'Ans 1'!$W$2</c:f>
              <c:strCache>
                <c:ptCount val="1"/>
                <c:pt idx="0">
                  <c:v>Bendford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'Ans 1'!$W$3:$W$11</c:f>
              <c:numCache>
                <c:formatCode>0.00%</c:formatCode>
                <c:ptCount val="9"/>
                <c:pt idx="0">
                  <c:v>0.3010299956639812</c:v>
                </c:pt>
                <c:pt idx="1">
                  <c:v>0.17609125905568124</c:v>
                </c:pt>
                <c:pt idx="2">
                  <c:v>0.12493873660829996</c:v>
                </c:pt>
                <c:pt idx="3">
                  <c:v>9.6910013008056461E-2</c:v>
                </c:pt>
                <c:pt idx="4">
                  <c:v>7.9181246047624776E-2</c:v>
                </c:pt>
                <c:pt idx="5">
                  <c:v>6.6946789630613179E-2</c:v>
                </c:pt>
                <c:pt idx="6">
                  <c:v>5.7991946977686726E-2</c:v>
                </c:pt>
                <c:pt idx="7">
                  <c:v>5.1152522447381332E-2</c:v>
                </c:pt>
                <c:pt idx="8">
                  <c:v>4.5757490560675129E-2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34-4569-B71C-6E3EE4A4F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5592976"/>
        <c:axId val="1475593936"/>
      </c:lineChart>
      <c:catAx>
        <c:axId val="1475592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593936"/>
        <c:crosses val="autoZero"/>
        <c:auto val="1"/>
        <c:lblAlgn val="ctr"/>
        <c:lblOffset val="100"/>
        <c:noMultiLvlLbl val="0"/>
      </c:catAx>
      <c:valAx>
        <c:axId val="147559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59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BS 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'Ans 1'!$V$26</c:f>
              <c:strCache>
                <c:ptCount val="1"/>
                <c:pt idx="0">
                  <c:v>Actual%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'Ans 1'!$V$27:$V$35</c:f>
              <c:numCache>
                <c:formatCode>0.00%</c:formatCode>
                <c:ptCount val="9"/>
                <c:pt idx="0">
                  <c:v>0.2</c:v>
                </c:pt>
                <c:pt idx="1">
                  <c:v>0.05</c:v>
                </c:pt>
                <c:pt idx="2">
                  <c:v>0.25</c:v>
                </c:pt>
                <c:pt idx="3">
                  <c:v>0.15</c:v>
                </c:pt>
                <c:pt idx="4">
                  <c:v>0.3</c:v>
                </c:pt>
                <c:pt idx="5">
                  <c:v>0.05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51-45D1-8EF4-B05F5A859574}"/>
            </c:ext>
          </c:extLst>
        </c:ser>
        <c:ser>
          <c:idx val="1"/>
          <c:order val="1"/>
          <c:tx>
            <c:strRef>
              <c:f>'Ans 1'!$W$26</c:f>
              <c:strCache>
                <c:ptCount val="1"/>
                <c:pt idx="0">
                  <c:v>Bendford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'Ans 1'!$W$27:$W$35</c:f>
              <c:numCache>
                <c:formatCode>0.00%</c:formatCode>
                <c:ptCount val="9"/>
                <c:pt idx="0">
                  <c:v>0.3010299956639812</c:v>
                </c:pt>
                <c:pt idx="1">
                  <c:v>0.17609125905568124</c:v>
                </c:pt>
                <c:pt idx="2">
                  <c:v>0.12493873660829996</c:v>
                </c:pt>
                <c:pt idx="3">
                  <c:v>9.6910013008056461E-2</c:v>
                </c:pt>
                <c:pt idx="4">
                  <c:v>7.9181246047624776E-2</c:v>
                </c:pt>
                <c:pt idx="5">
                  <c:v>6.6946789630613179E-2</c:v>
                </c:pt>
                <c:pt idx="6">
                  <c:v>5.7991946977686726E-2</c:v>
                </c:pt>
                <c:pt idx="7">
                  <c:v>5.1152522447381332E-2</c:v>
                </c:pt>
                <c:pt idx="8">
                  <c:v>4.5757490560675129E-2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51-45D1-8EF4-B05F5A859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1499792"/>
        <c:axId val="1381501232"/>
      </c:lineChart>
      <c:catAx>
        <c:axId val="13814997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501232"/>
        <c:crosses val="autoZero"/>
        <c:auto val="1"/>
        <c:lblAlgn val="ctr"/>
        <c:lblOffset val="100"/>
        <c:noMultiLvlLbl val="0"/>
      </c:catAx>
      <c:valAx>
        <c:axId val="138150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149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</xdr:colOff>
      <xdr:row>2</xdr:row>
      <xdr:rowOff>15240</xdr:rowOff>
    </xdr:from>
    <xdr:to>
      <xdr:col>15</xdr:col>
      <xdr:colOff>662940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A1A81E-7F8E-4085-854B-ED38B3C72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16</xdr:row>
      <xdr:rowOff>7620</xdr:rowOff>
    </xdr:from>
    <xdr:to>
      <xdr:col>16</xdr:col>
      <xdr:colOff>0</xdr:colOff>
      <xdr:row>22</xdr:row>
      <xdr:rowOff>68580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B65BADD-0424-471B-952C-FEB6E9A8655F}"/>
            </a:ext>
          </a:extLst>
        </xdr:cNvPr>
        <xdr:cNvSpPr txBox="1"/>
      </xdr:nvSpPr>
      <xdr:spPr>
        <a:xfrm>
          <a:off x="6172200" y="3154680"/>
          <a:ext cx="4693920" cy="1203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P&amp;L for 23 seems to be following the bendfords law for diminishing slope and deviations</a:t>
          </a:r>
          <a:r>
            <a:rPr lang="en-IN" sz="1100" b="1" baseline="0"/>
            <a:t> are reasonable.</a:t>
          </a:r>
        </a:p>
        <a:p>
          <a:r>
            <a:rPr lang="en-IN" sz="1100" b="1" baseline="0"/>
            <a:t>while for 24, it doesnt at all seem to follow the law, hence, can be inaccurate.</a:t>
          </a:r>
          <a:endParaRPr lang="en-IN" sz="1100" b="1"/>
        </a:p>
      </xdr:txBody>
    </xdr:sp>
    <xdr:clientData/>
  </xdr:twoCellAnchor>
  <xdr:twoCellAnchor>
    <xdr:from>
      <xdr:col>8</xdr:col>
      <xdr:colOff>659130</xdr:colOff>
      <xdr:row>26</xdr:row>
      <xdr:rowOff>7620</xdr:rowOff>
    </xdr:from>
    <xdr:to>
      <xdr:col>15</xdr:col>
      <xdr:colOff>537210</xdr:colOff>
      <xdr:row>39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91221D-375F-4D4C-9CF6-E618D15A9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3810</xdr:colOff>
      <xdr:row>1</xdr:row>
      <xdr:rowOff>190500</xdr:rowOff>
    </xdr:from>
    <xdr:to>
      <xdr:col>31</xdr:col>
      <xdr:colOff>552450</xdr:colOff>
      <xdr:row>15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50B6D30-128A-436A-93BD-1ACD7A97FF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3810</xdr:colOff>
      <xdr:row>26</xdr:row>
      <xdr:rowOff>15240</xdr:rowOff>
    </xdr:from>
    <xdr:to>
      <xdr:col>31</xdr:col>
      <xdr:colOff>552450</xdr:colOff>
      <xdr:row>39</xdr:row>
      <xdr:rowOff>182880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232541-CA53-49FC-885A-6CAE2649D1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642258</xdr:colOff>
      <xdr:row>42</xdr:row>
      <xdr:rowOff>32658</xdr:rowOff>
    </xdr:from>
    <xdr:to>
      <xdr:col>15</xdr:col>
      <xdr:colOff>653143</xdr:colOff>
      <xdr:row>49</xdr:row>
      <xdr:rowOff>141514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E8C183-39A9-4245-8EDF-2B178235FF7C}"/>
            </a:ext>
          </a:extLst>
        </xdr:cNvPr>
        <xdr:cNvSpPr txBox="1"/>
      </xdr:nvSpPr>
      <xdr:spPr>
        <a:xfrm>
          <a:off x="6143898" y="8216538"/>
          <a:ext cx="4704805" cy="14728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/>
            <a:t>Both Balance sheets ( year 23 and 24) show major deviations</a:t>
          </a:r>
          <a:r>
            <a:rPr lang="en-IN" sz="1100" b="1" baseline="0"/>
            <a:t> from the Bendford law, hence appearing to be inaccurate.</a:t>
          </a:r>
          <a:endParaRPr lang="en-IN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ushiki%20choubey\Desktop\Badri%20Sir2\232PGF010.xlsm" TargetMode="External"/><Relationship Id="rId1" Type="http://schemas.openxmlformats.org/officeDocument/2006/relationships/externalLinkPath" Target="/Users/Kaushiki%20choubey/Desktop/Badri%20Sir2/232PGF01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mon/WORK/FM2/Disk%20with%20book/Problem%20files/Cchapter%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AppData/Local/Microsoft/Windows/Temporary%20Internet%20Files/Content.Outlook/Z7U4IZ4V/Nelson-Siege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Data1"/>
      <sheetName val="Data2"/>
      <sheetName val="Data3"/>
      <sheetName val="Questions"/>
      <sheetName val="Ans 1"/>
      <sheetName val="Ans 2"/>
      <sheetName val="Ans 3"/>
      <sheetName val="Ans 4"/>
      <sheetName val="Ans 5"/>
      <sheetName val="Sheet2"/>
    </sheetNames>
    <sheetDataSet>
      <sheetData sheetId="0"/>
      <sheetData sheetId="1"/>
      <sheetData sheetId="2"/>
      <sheetData sheetId="3"/>
      <sheetData sheetId="4"/>
      <sheetData sheetId="5">
        <row r="2">
          <cell r="F2" t="str">
            <v>Actual%</v>
          </cell>
          <cell r="G2" t="str">
            <v>Bendford %</v>
          </cell>
          <cell r="V2" t="str">
            <v>Actual%</v>
          </cell>
          <cell r="W2" t="str">
            <v>Bendford %</v>
          </cell>
        </row>
        <row r="3">
          <cell r="F3">
            <v>0.35294117647058826</v>
          </cell>
          <cell r="G3">
            <v>0.3010299956639812</v>
          </cell>
          <cell r="V3">
            <v>0.27777777777777779</v>
          </cell>
          <cell r="W3">
            <v>0.3010299956639812</v>
          </cell>
        </row>
        <row r="4">
          <cell r="F4">
            <v>0.23529411764705882</v>
          </cell>
          <cell r="G4">
            <v>0.17609125905568124</v>
          </cell>
          <cell r="V4">
            <v>0.1111111111111111</v>
          </cell>
          <cell r="W4">
            <v>0.17609125905568124</v>
          </cell>
        </row>
        <row r="5">
          <cell r="F5">
            <v>5.8823529411764705E-2</v>
          </cell>
          <cell r="G5">
            <v>0.12493873660829996</v>
          </cell>
          <cell r="V5">
            <v>0.22222222222222221</v>
          </cell>
          <cell r="W5">
            <v>0.12493873660829996</v>
          </cell>
        </row>
        <row r="6">
          <cell r="F6">
            <v>5.8823529411764705E-2</v>
          </cell>
          <cell r="G6">
            <v>9.6910013008056461E-2</v>
          </cell>
          <cell r="V6">
            <v>0</v>
          </cell>
          <cell r="W6">
            <v>9.6910013008056461E-2</v>
          </cell>
        </row>
        <row r="7">
          <cell r="F7">
            <v>0</v>
          </cell>
          <cell r="G7">
            <v>7.9181246047624776E-2</v>
          </cell>
          <cell r="V7">
            <v>0.1111111111111111</v>
          </cell>
          <cell r="W7">
            <v>7.9181246047624776E-2</v>
          </cell>
        </row>
        <row r="8">
          <cell r="F8">
            <v>5.8823529411764705E-2</v>
          </cell>
          <cell r="G8">
            <v>6.6946789630613179E-2</v>
          </cell>
          <cell r="V8">
            <v>0</v>
          </cell>
          <cell r="W8">
            <v>6.6946789630613179E-2</v>
          </cell>
        </row>
        <row r="9">
          <cell r="F9">
            <v>0.11764705882352941</v>
          </cell>
          <cell r="G9">
            <v>5.7991946977686726E-2</v>
          </cell>
          <cell r="V9">
            <v>5.5555555555555552E-2</v>
          </cell>
          <cell r="W9">
            <v>5.7991946977686726E-2</v>
          </cell>
        </row>
        <row r="10">
          <cell r="F10">
            <v>5.8823529411764705E-2</v>
          </cell>
          <cell r="G10">
            <v>5.1152522447381332E-2</v>
          </cell>
          <cell r="V10">
            <v>0.16666666666666666</v>
          </cell>
          <cell r="W10">
            <v>5.1152522447381332E-2</v>
          </cell>
        </row>
        <row r="11">
          <cell r="F11">
            <v>5.8823529411764705E-2</v>
          </cell>
          <cell r="G11">
            <v>4.5757490560675129E-2</v>
          </cell>
          <cell r="V11">
            <v>5.5555555555555552E-2</v>
          </cell>
          <cell r="W11">
            <v>4.5757490560675129E-2</v>
          </cell>
        </row>
        <row r="26">
          <cell r="F26" t="str">
            <v>Actual%</v>
          </cell>
          <cell r="G26" t="str">
            <v>Bendford %</v>
          </cell>
          <cell r="V26" t="str">
            <v>Actual%</v>
          </cell>
          <cell r="W26" t="str">
            <v>Bendford %</v>
          </cell>
        </row>
        <row r="27">
          <cell r="F27">
            <v>0.2</v>
          </cell>
          <cell r="G27">
            <v>0.3010299956639812</v>
          </cell>
          <cell r="V27">
            <v>0.2</v>
          </cell>
          <cell r="W27">
            <v>0.3010299956639812</v>
          </cell>
        </row>
        <row r="28">
          <cell r="F28">
            <v>0.1</v>
          </cell>
          <cell r="G28">
            <v>0.17609125905568124</v>
          </cell>
          <cell r="V28">
            <v>0.05</v>
          </cell>
          <cell r="W28">
            <v>0.17609125905568124</v>
          </cell>
        </row>
        <row r="29">
          <cell r="F29">
            <v>0.4</v>
          </cell>
          <cell r="G29">
            <v>0.12493873660829996</v>
          </cell>
          <cell r="V29">
            <v>0.25</v>
          </cell>
          <cell r="W29">
            <v>0.12493873660829996</v>
          </cell>
        </row>
        <row r="30">
          <cell r="F30">
            <v>0.25</v>
          </cell>
          <cell r="G30">
            <v>9.6910013008056461E-2</v>
          </cell>
          <cell r="V30">
            <v>0.15</v>
          </cell>
          <cell r="W30">
            <v>9.6910013008056461E-2</v>
          </cell>
        </row>
        <row r="31">
          <cell r="F31">
            <v>0.05</v>
          </cell>
          <cell r="G31">
            <v>7.9181246047624776E-2</v>
          </cell>
          <cell r="V31">
            <v>0.3</v>
          </cell>
          <cell r="W31">
            <v>7.9181246047624776E-2</v>
          </cell>
        </row>
        <row r="32">
          <cell r="F32">
            <v>0</v>
          </cell>
          <cell r="G32">
            <v>6.6946789630613179E-2</v>
          </cell>
          <cell r="V32">
            <v>0.05</v>
          </cell>
          <cell r="W32">
            <v>6.6946789630613179E-2</v>
          </cell>
        </row>
        <row r="33">
          <cell r="F33">
            <v>0</v>
          </cell>
          <cell r="G33">
            <v>5.7991946977686726E-2</v>
          </cell>
          <cell r="V33">
            <v>0</v>
          </cell>
          <cell r="W33">
            <v>5.7991946977686726E-2</v>
          </cell>
        </row>
        <row r="34">
          <cell r="F34">
            <v>0</v>
          </cell>
          <cell r="G34">
            <v>5.1152522447381332E-2</v>
          </cell>
          <cell r="V34">
            <v>0</v>
          </cell>
          <cell r="W34">
            <v>5.1152522447381332E-2</v>
          </cell>
        </row>
        <row r="35">
          <cell r="F35">
            <v>0</v>
          </cell>
          <cell r="G35">
            <v>4.5757490560675129E-2</v>
          </cell>
          <cell r="V35">
            <v>0</v>
          </cell>
          <cell r="W35">
            <v>4.5757490560675129E-2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16A, UN16B"/>
      <sheetName val="VBA functions, pp. 199-200, 203"/>
      <sheetName val="UN16C"/>
      <sheetName val="UN16D"/>
      <sheetName val="UN16E"/>
      <sheetName val="UN16F"/>
      <sheetName val="UN16G, UN16I"/>
      <sheetName val="UN16H"/>
      <sheetName val="UN16J"/>
    </sheetNames>
    <sheetDataSet>
      <sheetData sheetId="0">
        <row r="15">
          <cell r="B15">
            <v>2.4706641071103697</v>
          </cell>
        </row>
      </sheetData>
      <sheetData sheetId="1" refreshError="1"/>
      <sheetData sheetId="2">
        <row r="3">
          <cell r="B3">
            <v>100</v>
          </cell>
        </row>
        <row r="4">
          <cell r="B4">
            <v>100</v>
          </cell>
        </row>
        <row r="6">
          <cell r="B6">
            <v>0.1</v>
          </cell>
        </row>
        <row r="7">
          <cell r="B7">
            <v>0.4</v>
          </cell>
        </row>
      </sheetData>
      <sheetData sheetId="3"/>
      <sheetData sheetId="4"/>
      <sheetData sheetId="5">
        <row r="11">
          <cell r="B11">
            <v>6</v>
          </cell>
        </row>
        <row r="13">
          <cell r="B13">
            <v>0.153533935546875</v>
          </cell>
        </row>
      </sheetData>
      <sheetData sheetId="6"/>
      <sheetData sheetId="7" refreshError="1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walkha-Soto data"/>
      <sheetName val="Pricing function test"/>
      <sheetName val="Nawalkha-Soto example"/>
      <sheetName val="Variation"/>
      <sheetName val="NS data partial years"/>
      <sheetName val="BBB-rated Yahoo corporates"/>
      <sheetName val="AAA-rated Yahoo corporates"/>
      <sheetName val="Sheet1"/>
      <sheetName val="Raw data"/>
      <sheetName val="Sheet2"/>
      <sheetName val="BBB-rated Yahoo corporates NSS"/>
      <sheetName val="Over-determined 1"/>
      <sheetName val="Over-determined 2"/>
      <sheetName val="Sheet3"/>
      <sheetName val="AAA-rated Yahoo corporates (2)"/>
    </sheetNames>
    <sheetDataSet>
      <sheetData sheetId="0"/>
      <sheetData sheetId="1"/>
      <sheetData sheetId="2">
        <row r="2">
          <cell r="B2">
            <v>7.000458923920673E-2</v>
          </cell>
        </row>
        <row r="6">
          <cell r="B6">
            <v>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739C-623E-452C-BECD-BBFE28FD704E}">
  <sheetPr codeName="Sheet6"/>
  <dimension ref="B1:AD57"/>
  <sheetViews>
    <sheetView tabSelected="1" zoomScale="48" workbookViewId="0">
      <selection activeCell="V44" sqref="V44"/>
    </sheetView>
  </sheetViews>
  <sheetFormatPr defaultRowHeight="13.8" x14ac:dyDescent="0.25"/>
  <cols>
    <col min="1" max="1" width="2.296875" customWidth="1"/>
    <col min="2" max="2" width="12.59765625" bestFit="1" customWidth="1"/>
    <col min="3" max="3" width="8.5" bestFit="1" customWidth="1"/>
    <col min="4" max="4" width="11.3984375" bestFit="1" customWidth="1"/>
    <col min="5" max="5" width="10.69921875" bestFit="1" customWidth="1"/>
    <col min="7" max="7" width="10.296875" bestFit="1" customWidth="1"/>
    <col min="8" max="8" width="7.59765625" bestFit="1" customWidth="1"/>
    <col min="18" max="18" width="10.09765625" bestFit="1" customWidth="1"/>
    <col min="19" max="19" width="8.5" bestFit="1" customWidth="1"/>
    <col min="20" max="20" width="11.3984375" bestFit="1" customWidth="1"/>
    <col min="21" max="21" width="10.69921875" bestFit="1" customWidth="1"/>
  </cols>
  <sheetData>
    <row r="1" spans="2:30" s="2" customFormat="1" x14ac:dyDescent="0.25">
      <c r="B1" s="1" t="s">
        <v>0</v>
      </c>
    </row>
    <row r="2" spans="2:30" ht="15.6" x14ac:dyDescent="0.3">
      <c r="B2" s="3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R2" s="3" t="s">
        <v>8</v>
      </c>
      <c r="S2" t="s">
        <v>2</v>
      </c>
      <c r="T2" t="s">
        <v>3</v>
      </c>
      <c r="U2" t="s">
        <v>4</v>
      </c>
      <c r="V2" t="s">
        <v>5</v>
      </c>
      <c r="W2" t="s">
        <v>6</v>
      </c>
      <c r="X2" t="s">
        <v>7</v>
      </c>
    </row>
    <row r="3" spans="2:30" ht="15.6" x14ac:dyDescent="0.3">
      <c r="B3" s="4">
        <v>250880</v>
      </c>
      <c r="C3" t="str">
        <f>LEFT(B3)</f>
        <v>2</v>
      </c>
      <c r="D3">
        <v>1</v>
      </c>
      <c r="E3">
        <f>COUNTIF($C$3:$C$20,D3)</f>
        <v>6</v>
      </c>
      <c r="F3" s="5">
        <f>E3/$E$12</f>
        <v>0.35294117647058826</v>
      </c>
      <c r="G3" s="5">
        <f>LOG10(D3+1)-LOG(D3)</f>
        <v>0.3010299956639812</v>
      </c>
      <c r="H3" s="6">
        <f>G3-F3</f>
        <v>-5.191118080660706E-2</v>
      </c>
      <c r="R3" s="4">
        <v>328620</v>
      </c>
      <c r="S3" t="str">
        <f>LEFT(R3)</f>
        <v>3</v>
      </c>
      <c r="T3">
        <v>1</v>
      </c>
      <c r="U3">
        <f>COUNTIF($S$3:$S$20,T3)</f>
        <v>5</v>
      </c>
      <c r="V3" s="5">
        <f>U3/$U$12</f>
        <v>0.27777777777777779</v>
      </c>
      <c r="W3" s="5">
        <f>LOG10(T3+1)-LOG(T3)</f>
        <v>0.3010299956639812</v>
      </c>
      <c r="X3" s="6">
        <f>W3-V3</f>
        <v>2.3252217886203408E-2</v>
      </c>
    </row>
    <row r="4" spans="2:30" ht="15.6" x14ac:dyDescent="0.3">
      <c r="B4" s="7">
        <v>119940</v>
      </c>
      <c r="C4" s="8" t="str">
        <f t="shared" ref="C4:C19" si="0">LEFT(B4)</f>
        <v>1</v>
      </c>
      <c r="D4" s="8">
        <v>2</v>
      </c>
      <c r="E4" s="8">
        <f t="shared" ref="E4:E11" si="1">COUNTIF($C$3:$C$20,D4)</f>
        <v>4</v>
      </c>
      <c r="F4" s="9">
        <f t="shared" ref="F4:F11" si="2">E4/$E$12</f>
        <v>0.23529411764705882</v>
      </c>
      <c r="G4" s="9">
        <f t="shared" ref="G4:G11" si="3">LOG10(D4+1)-LOG(D4)</f>
        <v>0.17609125905568124</v>
      </c>
      <c r="H4" s="10">
        <f t="shared" ref="H4:H11" si="4">G4-F4</f>
        <v>-5.9202858591377583E-2</v>
      </c>
      <c r="I4" s="8"/>
      <c r="J4" s="8"/>
      <c r="K4" s="8"/>
      <c r="L4" s="8"/>
      <c r="M4" s="8"/>
      <c r="N4" s="8"/>
      <c r="O4" s="8"/>
      <c r="P4" s="8"/>
      <c r="Q4" s="8"/>
      <c r="R4" s="7">
        <v>144570</v>
      </c>
      <c r="S4" s="8" t="str">
        <f t="shared" ref="S4:S20" si="5">LEFT(R4)</f>
        <v>1</v>
      </c>
      <c r="T4" s="8">
        <v>2</v>
      </c>
      <c r="U4" s="8">
        <f t="shared" ref="U4:U11" si="6">COUNTIF($S$3:$S$20,T4)</f>
        <v>2</v>
      </c>
      <c r="V4" s="9">
        <f t="shared" ref="V4:V11" si="7">U4/$U$12</f>
        <v>0.1111111111111111</v>
      </c>
      <c r="W4" s="9">
        <f t="shared" ref="W4:W11" si="8">LOG10(T4+1)-LOG(T4)</f>
        <v>0.17609125905568124</v>
      </c>
      <c r="X4" s="10">
        <f t="shared" ref="X4:X11" si="9">W4-V4</f>
        <v>6.4980147944570132E-2</v>
      </c>
      <c r="Y4" s="8"/>
      <c r="Z4" s="8"/>
      <c r="AA4" s="8"/>
      <c r="AB4" s="8"/>
      <c r="AC4" s="8"/>
      <c r="AD4" s="8"/>
    </row>
    <row r="5" spans="2:30" ht="15.6" x14ac:dyDescent="0.3">
      <c r="B5" s="11">
        <v>890</v>
      </c>
      <c r="C5" s="8" t="str">
        <f t="shared" si="0"/>
        <v>8</v>
      </c>
      <c r="D5" s="8">
        <v>3</v>
      </c>
      <c r="E5" s="8">
        <f t="shared" si="1"/>
        <v>1</v>
      </c>
      <c r="F5" s="9">
        <f t="shared" si="2"/>
        <v>5.8823529411764705E-2</v>
      </c>
      <c r="G5" s="9">
        <f t="shared" si="3"/>
        <v>0.12493873660829996</v>
      </c>
      <c r="H5" s="10">
        <f t="shared" si="4"/>
        <v>6.6115207196535256E-2</v>
      </c>
      <c r="I5" s="8"/>
      <c r="J5" s="8"/>
      <c r="K5" s="8"/>
      <c r="L5" s="8"/>
      <c r="M5" s="8"/>
      <c r="N5" s="8"/>
      <c r="O5" s="8"/>
      <c r="P5" s="8"/>
      <c r="Q5" s="8"/>
      <c r="R5" s="11">
        <v>890</v>
      </c>
      <c r="S5" s="8" t="str">
        <f t="shared" si="5"/>
        <v>8</v>
      </c>
      <c r="T5" s="8">
        <v>3</v>
      </c>
      <c r="U5" s="8">
        <f t="shared" si="6"/>
        <v>4</v>
      </c>
      <c r="V5" s="9">
        <f t="shared" si="7"/>
        <v>0.22222222222222221</v>
      </c>
      <c r="W5" s="9">
        <f t="shared" si="8"/>
        <v>0.12493873660829996</v>
      </c>
      <c r="X5" s="10">
        <f t="shared" si="9"/>
        <v>-9.7283485613922249E-2</v>
      </c>
      <c r="Y5" s="8"/>
      <c r="Z5" s="8"/>
      <c r="AA5" s="8"/>
      <c r="AB5" s="8"/>
      <c r="AC5" s="8"/>
      <c r="AD5" s="8"/>
    </row>
    <row r="6" spans="2:30" ht="15.6" x14ac:dyDescent="0.3">
      <c r="B6" s="7">
        <v>119050</v>
      </c>
      <c r="C6" s="8" t="str">
        <f t="shared" si="0"/>
        <v>1</v>
      </c>
      <c r="D6" s="8">
        <v>4</v>
      </c>
      <c r="E6" s="8">
        <f t="shared" si="1"/>
        <v>1</v>
      </c>
      <c r="F6" s="9">
        <f t="shared" si="2"/>
        <v>5.8823529411764705E-2</v>
      </c>
      <c r="G6" s="9">
        <f t="shared" si="3"/>
        <v>9.6910013008056461E-2</v>
      </c>
      <c r="H6" s="10">
        <f t="shared" si="4"/>
        <v>3.8086483596291756E-2</v>
      </c>
      <c r="I6" s="8"/>
      <c r="J6" s="8"/>
      <c r="K6" s="8"/>
      <c r="L6" s="8"/>
      <c r="M6" s="8"/>
      <c r="N6" s="8"/>
      <c r="O6" s="8"/>
      <c r="P6" s="8"/>
      <c r="Q6" s="8"/>
      <c r="R6" s="7">
        <v>143680</v>
      </c>
      <c r="S6" s="8" t="str">
        <f t="shared" si="5"/>
        <v>1</v>
      </c>
      <c r="T6" s="8">
        <v>4</v>
      </c>
      <c r="U6" s="8">
        <f t="shared" si="6"/>
        <v>0</v>
      </c>
      <c r="V6" s="9">
        <f t="shared" si="7"/>
        <v>0</v>
      </c>
      <c r="W6" s="9">
        <f t="shared" si="8"/>
        <v>9.6910013008056461E-2</v>
      </c>
      <c r="X6" s="10">
        <f t="shared" si="9"/>
        <v>9.6910013008056461E-2</v>
      </c>
      <c r="Y6" s="8"/>
      <c r="Z6" s="8"/>
      <c r="AA6" s="8"/>
      <c r="AB6" s="8"/>
      <c r="AC6" s="8"/>
      <c r="AD6" s="8"/>
    </row>
    <row r="7" spans="2:30" ht="15.6" x14ac:dyDescent="0.3">
      <c r="B7" s="7">
        <v>15730</v>
      </c>
      <c r="C7" s="8" t="str">
        <f t="shared" si="0"/>
        <v>1</v>
      </c>
      <c r="D7" s="8">
        <v>5</v>
      </c>
      <c r="E7" s="8">
        <f t="shared" si="1"/>
        <v>0</v>
      </c>
      <c r="F7" s="9">
        <f t="shared" si="2"/>
        <v>0</v>
      </c>
      <c r="G7" s="9">
        <f t="shared" si="3"/>
        <v>7.9181246047624776E-2</v>
      </c>
      <c r="H7" s="10">
        <f t="shared" si="4"/>
        <v>7.9181246047624776E-2</v>
      </c>
      <c r="I7" s="8"/>
      <c r="J7" s="8"/>
      <c r="K7" s="8"/>
      <c r="L7" s="8"/>
      <c r="M7" s="8"/>
      <c r="N7" s="8"/>
      <c r="O7" s="8"/>
      <c r="P7" s="8"/>
      <c r="Q7" s="8"/>
      <c r="R7" s="7">
        <v>50430</v>
      </c>
      <c r="S7" s="8" t="str">
        <f t="shared" si="5"/>
        <v>5</v>
      </c>
      <c r="T7" s="8">
        <v>5</v>
      </c>
      <c r="U7" s="8">
        <f t="shared" si="6"/>
        <v>2</v>
      </c>
      <c r="V7" s="9">
        <f t="shared" si="7"/>
        <v>0.1111111111111111</v>
      </c>
      <c r="W7" s="9">
        <f t="shared" si="8"/>
        <v>7.9181246047624776E-2</v>
      </c>
      <c r="X7" s="10">
        <f t="shared" si="9"/>
        <v>-3.1929865063486329E-2</v>
      </c>
      <c r="Y7" s="8"/>
      <c r="Z7" s="8"/>
      <c r="AA7" s="8"/>
      <c r="AB7" s="8"/>
      <c r="AC7" s="8"/>
      <c r="AD7" s="8"/>
    </row>
    <row r="8" spans="2:30" ht="15.6" x14ac:dyDescent="0.3">
      <c r="B8" s="11" t="s">
        <v>9</v>
      </c>
      <c r="C8" s="8" t="str">
        <f t="shared" si="0"/>
        <v>-</v>
      </c>
      <c r="D8" s="8">
        <v>6</v>
      </c>
      <c r="E8" s="8">
        <f t="shared" si="1"/>
        <v>1</v>
      </c>
      <c r="F8" s="9">
        <f t="shared" si="2"/>
        <v>5.8823529411764705E-2</v>
      </c>
      <c r="G8" s="9">
        <f t="shared" si="3"/>
        <v>6.6946789630613179E-2</v>
      </c>
      <c r="H8" s="10">
        <f t="shared" si="4"/>
        <v>8.1232602188484743E-3</v>
      </c>
      <c r="I8" s="8"/>
      <c r="J8" s="8"/>
      <c r="K8" s="8"/>
      <c r="L8" s="8"/>
      <c r="M8" s="8"/>
      <c r="N8" s="8"/>
      <c r="O8" s="8"/>
      <c r="P8" s="8"/>
      <c r="Q8" s="8"/>
      <c r="R8" s="7">
        <v>31390</v>
      </c>
      <c r="S8" s="8" t="str">
        <f t="shared" si="5"/>
        <v>3</v>
      </c>
      <c r="T8" s="8">
        <v>6</v>
      </c>
      <c r="U8" s="8">
        <f t="shared" si="6"/>
        <v>0</v>
      </c>
      <c r="V8" s="9">
        <f t="shared" si="7"/>
        <v>0</v>
      </c>
      <c r="W8" s="9">
        <f t="shared" si="8"/>
        <v>6.6946789630613179E-2</v>
      </c>
      <c r="X8" s="10">
        <f t="shared" si="9"/>
        <v>6.6946789630613179E-2</v>
      </c>
      <c r="Y8" s="8"/>
      <c r="Z8" s="8"/>
      <c r="AA8" s="8"/>
      <c r="AB8" s="8"/>
      <c r="AC8" s="8"/>
      <c r="AD8" s="8"/>
    </row>
    <row r="9" spans="2:30" ht="15.6" x14ac:dyDescent="0.3">
      <c r="B9" s="7">
        <v>2140</v>
      </c>
      <c r="C9" s="8" t="str">
        <f t="shared" si="0"/>
        <v>2</v>
      </c>
      <c r="D9" s="8">
        <v>7</v>
      </c>
      <c r="E9" s="8">
        <f t="shared" si="1"/>
        <v>2</v>
      </c>
      <c r="F9" s="9">
        <f t="shared" si="2"/>
        <v>0.11764705882352941</v>
      </c>
      <c r="G9" s="9">
        <f t="shared" si="3"/>
        <v>5.7991946977686726E-2</v>
      </c>
      <c r="H9" s="10">
        <f t="shared" si="4"/>
        <v>-5.9655111845842684E-2</v>
      </c>
      <c r="I9" s="8"/>
      <c r="J9" s="8"/>
      <c r="K9" s="8"/>
      <c r="L9" s="8"/>
      <c r="M9" s="8"/>
      <c r="N9" s="8"/>
      <c r="O9" s="8"/>
      <c r="P9" s="8"/>
      <c r="Q9" s="8"/>
      <c r="R9" s="7">
        <v>2380</v>
      </c>
      <c r="S9" s="8" t="str">
        <f t="shared" si="5"/>
        <v>2</v>
      </c>
      <c r="T9" s="8">
        <v>7</v>
      </c>
      <c r="U9" s="8">
        <f t="shared" si="6"/>
        <v>1</v>
      </c>
      <c r="V9" s="9">
        <f t="shared" si="7"/>
        <v>5.5555555555555552E-2</v>
      </c>
      <c r="W9" s="9">
        <f t="shared" si="8"/>
        <v>5.7991946977686726E-2</v>
      </c>
      <c r="X9" s="10">
        <f t="shared" si="9"/>
        <v>2.4363914221311733E-3</v>
      </c>
      <c r="Y9" s="8"/>
      <c r="Z9" s="8"/>
      <c r="AA9" s="8"/>
      <c r="AB9" s="8"/>
      <c r="AC9" s="8"/>
      <c r="AD9" s="8"/>
    </row>
    <row r="10" spans="2:30" ht="15.6" x14ac:dyDescent="0.3">
      <c r="B10" s="7">
        <v>13590</v>
      </c>
      <c r="C10" s="8" t="str">
        <f t="shared" si="0"/>
        <v>1</v>
      </c>
      <c r="D10" s="8">
        <v>8</v>
      </c>
      <c r="E10" s="8">
        <f t="shared" si="1"/>
        <v>1</v>
      </c>
      <c r="F10" s="9">
        <f t="shared" si="2"/>
        <v>5.8823529411764705E-2</v>
      </c>
      <c r="G10" s="9">
        <f t="shared" si="3"/>
        <v>5.1152522447381332E-2</v>
      </c>
      <c r="H10" s="10">
        <f t="shared" si="4"/>
        <v>-7.6710069643833728E-3</v>
      </c>
      <c r="I10" s="8"/>
      <c r="J10" s="8"/>
      <c r="K10" s="8"/>
      <c r="L10" s="8"/>
      <c r="M10" s="8"/>
      <c r="N10" s="8"/>
      <c r="O10" s="8"/>
      <c r="P10" s="8"/>
      <c r="Q10" s="8"/>
      <c r="R10" s="7">
        <v>16660</v>
      </c>
      <c r="S10" s="8" t="str">
        <f t="shared" si="5"/>
        <v>1</v>
      </c>
      <c r="T10" s="8">
        <v>8</v>
      </c>
      <c r="U10" s="8">
        <f t="shared" si="6"/>
        <v>3</v>
      </c>
      <c r="V10" s="9">
        <f t="shared" si="7"/>
        <v>0.16666666666666666</v>
      </c>
      <c r="W10" s="9">
        <f t="shared" si="8"/>
        <v>5.1152522447381332E-2</v>
      </c>
      <c r="X10" s="10">
        <f t="shared" si="9"/>
        <v>-0.11551414421928533</v>
      </c>
      <c r="Y10" s="8"/>
      <c r="Z10" s="8"/>
      <c r="AA10" s="8"/>
      <c r="AB10" s="8"/>
      <c r="AC10" s="8"/>
      <c r="AD10" s="8"/>
    </row>
    <row r="11" spans="2:30" ht="15.6" x14ac:dyDescent="0.3">
      <c r="B11" s="7">
        <v>115210</v>
      </c>
      <c r="C11" s="8" t="str">
        <f t="shared" si="0"/>
        <v>1</v>
      </c>
      <c r="D11" s="8">
        <v>9</v>
      </c>
      <c r="E11" s="8">
        <f t="shared" si="1"/>
        <v>1</v>
      </c>
      <c r="F11" s="9">
        <f t="shared" si="2"/>
        <v>5.8823529411764705E-2</v>
      </c>
      <c r="G11" s="9">
        <f t="shared" si="3"/>
        <v>4.5757490560675129E-2</v>
      </c>
      <c r="H11" s="10">
        <f t="shared" si="4"/>
        <v>-1.3066038851089576E-2</v>
      </c>
      <c r="I11" s="8"/>
      <c r="J11" s="8"/>
      <c r="K11" s="8"/>
      <c r="L11" s="8"/>
      <c r="M11" s="8"/>
      <c r="N11" s="8"/>
      <c r="O11" s="8"/>
      <c r="P11" s="8"/>
      <c r="Q11" s="8"/>
      <c r="R11" s="7">
        <v>133620</v>
      </c>
      <c r="S11" s="8" t="str">
        <f t="shared" si="5"/>
        <v>1</v>
      </c>
      <c r="T11" s="8">
        <v>9</v>
      </c>
      <c r="U11" s="8">
        <f t="shared" si="6"/>
        <v>1</v>
      </c>
      <c r="V11" s="9">
        <f t="shared" si="7"/>
        <v>5.5555555555555552E-2</v>
      </c>
      <c r="W11" s="9">
        <f t="shared" si="8"/>
        <v>4.5757490560675129E-2</v>
      </c>
      <c r="X11" s="10">
        <f t="shared" si="9"/>
        <v>-9.7980649948804233E-3</v>
      </c>
      <c r="Y11" s="8"/>
      <c r="Z11" s="8"/>
      <c r="AA11" s="8"/>
      <c r="AB11" s="8"/>
      <c r="AC11" s="8"/>
      <c r="AD11" s="8"/>
    </row>
    <row r="12" spans="2:30" ht="15.6" x14ac:dyDescent="0.3">
      <c r="B12" s="7">
        <v>62800</v>
      </c>
      <c r="C12" s="8" t="str">
        <f t="shared" si="0"/>
        <v>6</v>
      </c>
      <c r="D12" s="8"/>
      <c r="E12" s="8">
        <f>SUM(E3:E11)</f>
        <v>17</v>
      </c>
      <c r="F12" s="9"/>
      <c r="G12" s="9"/>
      <c r="H12" s="9"/>
      <c r="I12" s="8"/>
      <c r="J12" s="8"/>
      <c r="K12" s="8"/>
      <c r="L12" s="8"/>
      <c r="M12" s="8"/>
      <c r="N12" s="8"/>
      <c r="O12" s="8"/>
      <c r="P12" s="8"/>
      <c r="Q12" s="8"/>
      <c r="R12" s="7">
        <v>76080</v>
      </c>
      <c r="S12" s="8" t="str">
        <f t="shared" si="5"/>
        <v>7</v>
      </c>
      <c r="T12" s="8"/>
      <c r="U12" s="8">
        <f>SUM(U3:U11)</f>
        <v>18</v>
      </c>
      <c r="V12" s="9"/>
      <c r="W12" s="9"/>
      <c r="X12" s="10"/>
      <c r="Y12" s="8"/>
      <c r="Z12" s="8"/>
      <c r="AA12" s="8"/>
      <c r="AB12" s="8"/>
      <c r="AC12" s="8"/>
      <c r="AD12" s="8"/>
    </row>
    <row r="13" spans="2:30" ht="15.6" x14ac:dyDescent="0.3">
      <c r="B13" s="7">
        <v>9650</v>
      </c>
      <c r="C13" s="8" t="str">
        <f t="shared" si="0"/>
        <v>9</v>
      </c>
      <c r="D13" s="8"/>
      <c r="E13" s="8"/>
      <c r="F13" s="9"/>
      <c r="G13" s="9"/>
      <c r="H13" s="9"/>
      <c r="I13" s="8"/>
      <c r="J13" s="8"/>
      <c r="K13" s="8"/>
      <c r="L13" s="8"/>
      <c r="M13" s="8"/>
      <c r="N13" s="8"/>
      <c r="O13" s="8"/>
      <c r="P13" s="8"/>
      <c r="Q13" s="8"/>
      <c r="R13" s="7">
        <v>9430</v>
      </c>
      <c r="S13" s="8" t="str">
        <f t="shared" si="5"/>
        <v>9</v>
      </c>
      <c r="T13" s="8"/>
      <c r="U13" s="8"/>
      <c r="V13" s="9"/>
      <c r="W13" s="9"/>
      <c r="X13" s="10"/>
      <c r="Y13" s="8"/>
      <c r="Z13" s="8"/>
      <c r="AA13" s="8"/>
      <c r="AB13" s="8"/>
      <c r="AC13" s="8"/>
      <c r="AD13" s="8"/>
    </row>
    <row r="14" spans="2:30" ht="15.6" x14ac:dyDescent="0.3">
      <c r="B14" s="7">
        <v>1180</v>
      </c>
      <c r="C14" s="8" t="str">
        <f t="shared" si="0"/>
        <v>1</v>
      </c>
      <c r="D14" s="8"/>
      <c r="E14" s="8"/>
      <c r="F14" s="9"/>
      <c r="G14" s="9"/>
      <c r="H14" s="9"/>
      <c r="I14" s="8"/>
      <c r="J14" s="8"/>
      <c r="K14" s="8"/>
      <c r="L14" s="8"/>
      <c r="M14" s="8"/>
      <c r="N14" s="8"/>
      <c r="O14" s="8"/>
      <c r="P14" s="8"/>
      <c r="Q14" s="8"/>
      <c r="R14" s="11">
        <v>810</v>
      </c>
      <c r="S14" s="8" t="str">
        <f t="shared" si="5"/>
        <v>8</v>
      </c>
      <c r="T14" s="8"/>
      <c r="U14" s="8"/>
      <c r="V14" s="9"/>
      <c r="W14" s="9"/>
      <c r="X14" s="10"/>
      <c r="Y14" s="8"/>
      <c r="Z14" s="8"/>
      <c r="AA14" s="8"/>
      <c r="AB14" s="8"/>
      <c r="AC14" s="8"/>
      <c r="AD14" s="8"/>
    </row>
    <row r="15" spans="2:30" ht="15.6" x14ac:dyDescent="0.3">
      <c r="B15" s="11">
        <v>730</v>
      </c>
      <c r="C15" s="8" t="str">
        <f t="shared" si="0"/>
        <v>7</v>
      </c>
      <c r="D15" s="8"/>
      <c r="E15" s="8"/>
      <c r="F15" s="9"/>
      <c r="G15" s="9"/>
      <c r="H15" s="9"/>
      <c r="I15" s="8"/>
      <c r="J15" s="8"/>
      <c r="K15" s="8"/>
      <c r="L15" s="8"/>
      <c r="M15" s="8"/>
      <c r="N15" s="8"/>
      <c r="O15" s="8"/>
      <c r="P15" s="8"/>
      <c r="Q15" s="8"/>
      <c r="R15" s="11">
        <v>570</v>
      </c>
      <c r="S15" s="8" t="str">
        <f t="shared" si="5"/>
        <v>5</v>
      </c>
      <c r="T15" s="8"/>
      <c r="U15" s="8"/>
      <c r="V15" s="9"/>
      <c r="W15" s="9"/>
      <c r="X15" s="10"/>
      <c r="Y15" s="8"/>
      <c r="Z15" s="8"/>
      <c r="AA15" s="8"/>
      <c r="AB15" s="8"/>
      <c r="AC15" s="8"/>
      <c r="AD15" s="8"/>
    </row>
    <row r="16" spans="2:30" ht="15.6" x14ac:dyDescent="0.3">
      <c r="B16" s="7">
        <v>33650</v>
      </c>
      <c r="C16" s="8" t="str">
        <f t="shared" si="0"/>
        <v>3</v>
      </c>
      <c r="D16" s="8"/>
      <c r="E16" s="8"/>
      <c r="F16" s="9"/>
      <c r="G16" s="9"/>
      <c r="H16" s="9"/>
      <c r="I16" s="8"/>
      <c r="J16" s="8"/>
      <c r="K16" s="8"/>
      <c r="L16" s="8"/>
      <c r="M16" s="8"/>
      <c r="N16" s="8"/>
      <c r="O16" s="8"/>
      <c r="P16" s="8"/>
      <c r="Q16" s="8"/>
      <c r="R16" s="7">
        <v>38010</v>
      </c>
      <c r="S16" s="8" t="str">
        <f t="shared" si="5"/>
        <v>3</v>
      </c>
      <c r="T16" s="8"/>
      <c r="U16" s="8"/>
      <c r="V16" s="9"/>
      <c r="W16" s="9"/>
      <c r="X16" s="10"/>
      <c r="Y16" s="8"/>
      <c r="Z16" s="8"/>
      <c r="AA16" s="8"/>
      <c r="AB16" s="8"/>
      <c r="AC16" s="8"/>
      <c r="AD16" s="8"/>
    </row>
    <row r="17" spans="2:30" ht="15.6" x14ac:dyDescent="0.3">
      <c r="B17" s="7">
        <v>7200</v>
      </c>
      <c r="C17" s="8" t="str">
        <f t="shared" si="0"/>
        <v>7</v>
      </c>
      <c r="D17" s="8"/>
      <c r="E17" s="8"/>
      <c r="F17" s="9"/>
      <c r="G17" s="9"/>
      <c r="H17" s="9"/>
      <c r="I17" s="8"/>
      <c r="J17" s="8"/>
      <c r="K17" s="8"/>
      <c r="L17" s="8"/>
      <c r="M17" s="8"/>
      <c r="N17" s="8"/>
      <c r="O17" s="8"/>
      <c r="P17" s="8"/>
      <c r="Q17" s="8"/>
      <c r="R17" s="7">
        <v>8720</v>
      </c>
      <c r="S17" s="8" t="str">
        <f t="shared" si="5"/>
        <v>8</v>
      </c>
      <c r="T17" s="8"/>
      <c r="U17" s="8"/>
      <c r="V17" s="9"/>
      <c r="W17" s="9"/>
      <c r="X17" s="10"/>
      <c r="Y17" s="8"/>
      <c r="Z17" s="8"/>
      <c r="AA17" s="8"/>
      <c r="AB17" s="8"/>
      <c r="AC17" s="8"/>
      <c r="AD17" s="8"/>
    </row>
    <row r="18" spans="2:30" ht="15.6" x14ac:dyDescent="0.3">
      <c r="B18" s="7">
        <v>250880</v>
      </c>
      <c r="C18" s="8" t="str">
        <f t="shared" si="0"/>
        <v>2</v>
      </c>
      <c r="D18" s="8"/>
      <c r="E18" s="8"/>
      <c r="F18" s="9"/>
      <c r="G18" s="9"/>
      <c r="H18" s="9"/>
      <c r="I18" s="8"/>
      <c r="J18" s="8"/>
      <c r="K18" s="8"/>
      <c r="L18" s="8"/>
      <c r="M18" s="8"/>
      <c r="N18" s="8"/>
      <c r="O18" s="8"/>
      <c r="P18" s="8"/>
      <c r="Q18" s="8"/>
      <c r="R18" s="7">
        <v>328620</v>
      </c>
      <c r="S18" s="8" t="str">
        <f t="shared" si="5"/>
        <v>3</v>
      </c>
      <c r="T18" s="8"/>
      <c r="U18" s="8"/>
      <c r="V18" s="9"/>
      <c r="W18" s="9"/>
      <c r="X18" s="10"/>
      <c r="Y18" s="8"/>
      <c r="Z18" s="8"/>
      <c r="AA18" s="8"/>
      <c r="AB18" s="8"/>
      <c r="AC18" s="8"/>
      <c r="AD18" s="8"/>
    </row>
    <row r="19" spans="2:30" ht="15.6" x14ac:dyDescent="0.3">
      <c r="B19" s="7">
        <v>44020</v>
      </c>
      <c r="C19" s="8" t="str">
        <f t="shared" si="0"/>
        <v>4</v>
      </c>
      <c r="D19" s="8"/>
      <c r="E19" s="8"/>
      <c r="F19" s="9"/>
      <c r="G19" s="9"/>
      <c r="H19" s="9"/>
      <c r="I19" s="8"/>
      <c r="J19" s="8"/>
      <c r="K19" s="8"/>
      <c r="L19" s="8"/>
      <c r="M19" s="8"/>
      <c r="N19" s="8"/>
      <c r="O19" s="8"/>
      <c r="P19" s="8"/>
      <c r="Q19" s="8"/>
      <c r="R19" s="7">
        <v>101690</v>
      </c>
      <c r="S19" s="8" t="str">
        <f t="shared" si="5"/>
        <v>1</v>
      </c>
      <c r="T19" s="8"/>
      <c r="U19" s="8"/>
      <c r="V19" s="9"/>
      <c r="W19" s="9"/>
      <c r="X19" s="10"/>
      <c r="Y19" s="8"/>
      <c r="Z19" s="8"/>
      <c r="AA19" s="8"/>
      <c r="AB19" s="8"/>
      <c r="AC19" s="8"/>
      <c r="AD19" s="8"/>
    </row>
    <row r="20" spans="2:30" ht="15.6" x14ac:dyDescent="0.3">
      <c r="B20" s="7">
        <v>206860</v>
      </c>
      <c r="C20" s="8" t="str">
        <f>LEFT(B20)</f>
        <v>2</v>
      </c>
      <c r="D20" s="8"/>
      <c r="E20" s="8"/>
      <c r="F20" s="9"/>
      <c r="G20" s="9"/>
      <c r="H20" s="9"/>
      <c r="I20" s="8"/>
      <c r="J20" s="8"/>
      <c r="K20" s="8"/>
      <c r="L20" s="8"/>
      <c r="M20" s="8"/>
      <c r="N20" s="8"/>
      <c r="O20" s="8"/>
      <c r="P20" s="8"/>
      <c r="Q20" s="8"/>
      <c r="R20" s="7">
        <v>226930</v>
      </c>
      <c r="S20" s="8" t="str">
        <f t="shared" si="5"/>
        <v>2</v>
      </c>
      <c r="T20" s="8"/>
      <c r="U20" s="8"/>
      <c r="V20" s="9"/>
      <c r="W20" s="9"/>
      <c r="X20" s="10"/>
      <c r="Y20" s="8"/>
      <c r="Z20" s="8"/>
      <c r="AA20" s="8"/>
      <c r="AB20" s="8"/>
      <c r="AC20" s="8"/>
      <c r="AD20" s="8"/>
    </row>
    <row r="21" spans="2:30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2:30" x14ac:dyDescent="0.2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2:30" x14ac:dyDescent="0.2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2:30" x14ac:dyDescent="0.25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2:30" s="2" customFormat="1" x14ac:dyDescent="0.25">
      <c r="B25" s="12" t="s">
        <v>10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 ht="15.6" x14ac:dyDescent="0.3">
      <c r="B26" s="13" t="s">
        <v>1</v>
      </c>
      <c r="C26" s="8" t="s">
        <v>2</v>
      </c>
      <c r="D26" s="8" t="s">
        <v>3</v>
      </c>
      <c r="E26" s="8" t="s">
        <v>4</v>
      </c>
      <c r="F26" s="8" t="s">
        <v>5</v>
      </c>
      <c r="G26" s="8" t="s">
        <v>6</v>
      </c>
      <c r="H26" s="8" t="s">
        <v>7</v>
      </c>
      <c r="I26" s="8"/>
      <c r="J26" s="8"/>
      <c r="K26" s="8"/>
      <c r="L26" s="8"/>
      <c r="M26" s="8"/>
      <c r="N26" s="8"/>
      <c r="O26" s="8"/>
      <c r="P26" s="8"/>
      <c r="Q26" s="8"/>
      <c r="R26" s="13" t="s">
        <v>8</v>
      </c>
      <c r="S26" s="8" t="s">
        <v>2</v>
      </c>
      <c r="T26" s="8" t="s">
        <v>3</v>
      </c>
      <c r="U26" s="8" t="s">
        <v>4</v>
      </c>
      <c r="V26" s="8" t="s">
        <v>5</v>
      </c>
      <c r="W26" s="8" t="s">
        <v>6</v>
      </c>
      <c r="X26" s="8" t="s">
        <v>7</v>
      </c>
      <c r="Y26" s="8"/>
      <c r="Z26" s="8"/>
      <c r="AA26" s="8"/>
      <c r="AB26" s="8"/>
      <c r="AC26" s="8"/>
      <c r="AD26" s="8"/>
    </row>
    <row r="27" spans="2:30" ht="15.6" x14ac:dyDescent="0.3">
      <c r="B27" s="11" t="s">
        <v>11</v>
      </c>
      <c r="C27" s="8" t="str">
        <f>LEFT(B27)</f>
        <v>4</v>
      </c>
      <c r="D27" s="8">
        <v>1</v>
      </c>
      <c r="E27" s="8">
        <f>COUNTIF($C$27:$C$48,D27)</f>
        <v>4</v>
      </c>
      <c r="F27" s="9">
        <f>E27/$E$36</f>
        <v>0.2</v>
      </c>
      <c r="G27" s="9">
        <f>LOG10(D27+1)-LOG(D27)</f>
        <v>0.3010299956639812</v>
      </c>
      <c r="H27" s="10">
        <f>G27-F27</f>
        <v>0.10102999566398119</v>
      </c>
      <c r="I27" s="8"/>
      <c r="J27" s="8"/>
      <c r="K27" s="8"/>
      <c r="L27" s="8"/>
      <c r="M27" s="8"/>
      <c r="N27" s="8"/>
      <c r="O27" s="8"/>
      <c r="P27" s="8"/>
      <c r="Q27" s="8"/>
      <c r="R27" s="11" t="s">
        <v>12</v>
      </c>
      <c r="S27" s="8" t="str">
        <f>LEFT(R27)</f>
        <v>5</v>
      </c>
      <c r="T27" s="8">
        <v>1</v>
      </c>
      <c r="U27" s="8">
        <f>COUNTIF($S$27:$S$48,T27)</f>
        <v>4</v>
      </c>
      <c r="V27" s="9">
        <f>U27/$U$36</f>
        <v>0.2</v>
      </c>
      <c r="W27" s="9">
        <f>LOG10(T27+1)-LOG10(T27)</f>
        <v>0.3010299956639812</v>
      </c>
      <c r="X27" s="10">
        <f>W27-V27</f>
        <v>0.10102999566398119</v>
      </c>
      <c r="Y27" s="8"/>
      <c r="Z27" s="8"/>
      <c r="AA27" s="8"/>
      <c r="AB27" s="8"/>
      <c r="AC27" s="8"/>
      <c r="AD27" s="8"/>
    </row>
    <row r="28" spans="2:30" ht="15.6" x14ac:dyDescent="0.3">
      <c r="B28" s="11" t="s">
        <v>13</v>
      </c>
      <c r="C28" s="8" t="str">
        <f t="shared" ref="C28:C48" si="10">LEFT(B28)</f>
        <v>4</v>
      </c>
      <c r="D28" s="8">
        <v>2</v>
      </c>
      <c r="E28" s="8">
        <f t="shared" ref="E28:E35" si="11">COUNTIF($C$27:$C$48,D28)</f>
        <v>2</v>
      </c>
      <c r="F28" s="9">
        <f t="shared" ref="F28:F35" si="12">E28/$E$36</f>
        <v>0.1</v>
      </c>
      <c r="G28" s="9">
        <f t="shared" ref="G28:G35" si="13">LOG10(D28+1)-LOG(D28)</f>
        <v>0.17609125905568124</v>
      </c>
      <c r="H28" s="10">
        <f t="shared" ref="H28:H35" si="14">G28-F28</f>
        <v>7.6091259055681232E-2</v>
      </c>
      <c r="I28" s="8"/>
      <c r="J28" s="8"/>
      <c r="K28" s="8"/>
      <c r="L28" s="8"/>
      <c r="M28" s="8"/>
      <c r="N28" s="8"/>
      <c r="O28" s="8"/>
      <c r="P28" s="8"/>
      <c r="Q28" s="8"/>
      <c r="R28" s="11" t="s">
        <v>14</v>
      </c>
      <c r="S28" s="8" t="str">
        <f t="shared" ref="S28:S48" si="15">LEFT(R28)</f>
        <v>5</v>
      </c>
      <c r="T28" s="8">
        <v>2</v>
      </c>
      <c r="U28" s="8">
        <f t="shared" ref="U28:U35" si="16">COUNTIF($S$27:$S$48,T28)</f>
        <v>1</v>
      </c>
      <c r="V28" s="9">
        <f t="shared" ref="V28:V35" si="17">U28/$U$36</f>
        <v>0.05</v>
      </c>
      <c r="W28" s="9">
        <f t="shared" ref="W28:W35" si="18">LOG10(T28+1)-LOG10(T28)</f>
        <v>0.17609125905568124</v>
      </c>
      <c r="X28" s="10">
        <f t="shared" ref="X28:X35" si="19">W28-V28</f>
        <v>0.12609125905568125</v>
      </c>
      <c r="Y28" s="8"/>
      <c r="Z28" s="8"/>
      <c r="AA28" s="8"/>
      <c r="AB28" s="8"/>
      <c r="AC28" s="8"/>
      <c r="AD28" s="8"/>
    </row>
    <row r="29" spans="2:30" ht="15.6" x14ac:dyDescent="0.3">
      <c r="B29" s="11" t="s">
        <v>13</v>
      </c>
      <c r="C29" s="8" t="str">
        <f t="shared" si="10"/>
        <v>4</v>
      </c>
      <c r="D29" s="8">
        <v>3</v>
      </c>
      <c r="E29" s="8">
        <f t="shared" si="11"/>
        <v>8</v>
      </c>
      <c r="F29" s="9">
        <f t="shared" si="12"/>
        <v>0.4</v>
      </c>
      <c r="G29" s="9">
        <f t="shared" si="13"/>
        <v>0.12493873660829996</v>
      </c>
      <c r="H29" s="10">
        <f t="shared" si="14"/>
        <v>-0.27506126339170006</v>
      </c>
      <c r="I29" s="8"/>
      <c r="J29" s="8"/>
      <c r="K29" s="8"/>
      <c r="L29" s="8"/>
      <c r="M29" s="8"/>
      <c r="N29" s="8"/>
      <c r="O29" s="8"/>
      <c r="P29" s="8"/>
      <c r="Q29" s="8"/>
      <c r="R29" s="11" t="s">
        <v>14</v>
      </c>
      <c r="S29" s="8" t="str">
        <f t="shared" si="15"/>
        <v>5</v>
      </c>
      <c r="T29" s="8">
        <v>3</v>
      </c>
      <c r="U29" s="8">
        <f t="shared" si="16"/>
        <v>5</v>
      </c>
      <c r="V29" s="9">
        <f t="shared" si="17"/>
        <v>0.25</v>
      </c>
      <c r="W29" s="9">
        <f t="shared" si="18"/>
        <v>0.12493873660829996</v>
      </c>
      <c r="X29" s="10">
        <f t="shared" si="19"/>
        <v>-0.12506126339170004</v>
      </c>
      <c r="Y29" s="8"/>
      <c r="Z29" s="8"/>
      <c r="AA29" s="8"/>
      <c r="AB29" s="8"/>
      <c r="AC29" s="8"/>
      <c r="AD29" s="8"/>
    </row>
    <row r="30" spans="2:30" ht="15.6" x14ac:dyDescent="0.3">
      <c r="B30" s="11" t="s">
        <v>15</v>
      </c>
      <c r="C30" s="8" t="str">
        <f t="shared" si="10"/>
        <v>3</v>
      </c>
      <c r="D30" s="8">
        <v>4</v>
      </c>
      <c r="E30" s="8">
        <f t="shared" si="11"/>
        <v>5</v>
      </c>
      <c r="F30" s="9">
        <f t="shared" si="12"/>
        <v>0.25</v>
      </c>
      <c r="G30" s="9">
        <f t="shared" si="13"/>
        <v>9.6910013008056461E-2</v>
      </c>
      <c r="H30" s="10">
        <f t="shared" si="14"/>
        <v>-0.15308998699194354</v>
      </c>
      <c r="I30" s="8"/>
      <c r="J30" s="8"/>
      <c r="K30" s="8"/>
      <c r="L30" s="8"/>
      <c r="M30" s="8"/>
      <c r="N30" s="8"/>
      <c r="O30" s="8"/>
      <c r="P30" s="8"/>
      <c r="Q30" s="8"/>
      <c r="R30" s="11" t="s">
        <v>16</v>
      </c>
      <c r="S30" s="8" t="str">
        <f t="shared" si="15"/>
        <v>5</v>
      </c>
      <c r="T30" s="8">
        <v>4</v>
      </c>
      <c r="U30" s="8">
        <f t="shared" si="16"/>
        <v>3</v>
      </c>
      <c r="V30" s="9">
        <f t="shared" si="17"/>
        <v>0.15</v>
      </c>
      <c r="W30" s="9">
        <f t="shared" si="18"/>
        <v>9.6910013008056461E-2</v>
      </c>
      <c r="X30" s="10">
        <f t="shared" si="19"/>
        <v>-5.3089986991943533E-2</v>
      </c>
      <c r="Y30" s="8"/>
      <c r="Z30" s="8"/>
      <c r="AA30" s="8"/>
      <c r="AB30" s="8"/>
      <c r="AC30" s="8"/>
      <c r="AD30" s="8"/>
    </row>
    <row r="31" spans="2:30" ht="15.6" x14ac:dyDescent="0.3">
      <c r="B31" s="11" t="s">
        <v>17</v>
      </c>
      <c r="C31" s="8" t="str">
        <f t="shared" si="10"/>
        <v>3</v>
      </c>
      <c r="D31" s="8">
        <v>5</v>
      </c>
      <c r="E31" s="8">
        <f t="shared" si="11"/>
        <v>1</v>
      </c>
      <c r="F31" s="9">
        <f t="shared" si="12"/>
        <v>0.05</v>
      </c>
      <c r="G31" s="9">
        <f t="shared" si="13"/>
        <v>7.9181246047624776E-2</v>
      </c>
      <c r="H31" s="10">
        <f t="shared" si="14"/>
        <v>2.9181246047624773E-2</v>
      </c>
      <c r="I31" s="8"/>
      <c r="J31" s="8"/>
      <c r="K31" s="8"/>
      <c r="L31" s="8"/>
      <c r="M31" s="8"/>
      <c r="N31" s="8"/>
      <c r="O31" s="8"/>
      <c r="P31" s="8"/>
      <c r="Q31" s="8"/>
      <c r="R31" s="11" t="s">
        <v>18</v>
      </c>
      <c r="S31" s="8" t="str">
        <f t="shared" si="15"/>
        <v>4</v>
      </c>
      <c r="T31" s="8">
        <v>5</v>
      </c>
      <c r="U31" s="8">
        <f t="shared" si="16"/>
        <v>6</v>
      </c>
      <c r="V31" s="9">
        <f t="shared" si="17"/>
        <v>0.3</v>
      </c>
      <c r="W31" s="9">
        <f t="shared" si="18"/>
        <v>7.9181246047624776E-2</v>
      </c>
      <c r="X31" s="10">
        <f t="shared" si="19"/>
        <v>-0.22081875395237521</v>
      </c>
      <c r="Y31" s="8"/>
      <c r="Z31" s="8"/>
      <c r="AA31" s="8"/>
      <c r="AB31" s="8"/>
      <c r="AC31" s="8"/>
      <c r="AD31" s="8"/>
    </row>
    <row r="32" spans="2:30" ht="15.6" x14ac:dyDescent="0.3">
      <c r="B32" s="11" t="s">
        <v>19</v>
      </c>
      <c r="C32" s="8" t="str">
        <f t="shared" si="10"/>
        <v>2</v>
      </c>
      <c r="D32" s="8">
        <v>6</v>
      </c>
      <c r="E32" s="8">
        <f t="shared" si="11"/>
        <v>0</v>
      </c>
      <c r="F32" s="9">
        <f t="shared" si="12"/>
        <v>0</v>
      </c>
      <c r="G32" s="9">
        <f t="shared" si="13"/>
        <v>6.6946789630613179E-2</v>
      </c>
      <c r="H32" s="10">
        <f t="shared" si="14"/>
        <v>6.6946789630613179E-2</v>
      </c>
      <c r="I32" s="8"/>
      <c r="J32" s="8"/>
      <c r="K32" s="8"/>
      <c r="L32" s="8"/>
      <c r="M32" s="8"/>
      <c r="N32" s="8"/>
      <c r="O32" s="8"/>
      <c r="P32" s="8"/>
      <c r="Q32" s="8"/>
      <c r="R32" s="11" t="s">
        <v>20</v>
      </c>
      <c r="S32" s="8" t="str">
        <f t="shared" si="15"/>
        <v>3</v>
      </c>
      <c r="T32" s="8">
        <v>6</v>
      </c>
      <c r="U32" s="8">
        <f t="shared" si="16"/>
        <v>1</v>
      </c>
      <c r="V32" s="9">
        <f t="shared" si="17"/>
        <v>0.05</v>
      </c>
      <c r="W32" s="9">
        <f t="shared" si="18"/>
        <v>6.6946789630613179E-2</v>
      </c>
      <c r="X32" s="10">
        <f t="shared" si="19"/>
        <v>1.6946789630613177E-2</v>
      </c>
      <c r="Y32" s="8"/>
      <c r="Z32" s="8"/>
      <c r="AA32" s="8"/>
      <c r="AB32" s="8"/>
      <c r="AC32" s="8"/>
      <c r="AD32" s="8"/>
    </row>
    <row r="33" spans="2:30" ht="15.6" x14ac:dyDescent="0.3">
      <c r="B33" s="11" t="s">
        <v>21</v>
      </c>
      <c r="C33" s="8" t="str">
        <f t="shared" si="10"/>
        <v>5</v>
      </c>
      <c r="D33" s="8">
        <v>7</v>
      </c>
      <c r="E33" s="8">
        <f t="shared" si="11"/>
        <v>0</v>
      </c>
      <c r="F33" s="9">
        <f t="shared" si="12"/>
        <v>0</v>
      </c>
      <c r="G33" s="9">
        <f t="shared" si="13"/>
        <v>5.7991946977686726E-2</v>
      </c>
      <c r="H33" s="10">
        <f t="shared" si="14"/>
        <v>5.7991946977686726E-2</v>
      </c>
      <c r="I33" s="8"/>
      <c r="J33" s="8"/>
      <c r="K33" s="8"/>
      <c r="L33" s="8"/>
      <c r="M33" s="8"/>
      <c r="N33" s="8"/>
      <c r="O33" s="8"/>
      <c r="P33" s="8"/>
      <c r="Q33" s="8"/>
      <c r="R33" s="11" t="s">
        <v>22</v>
      </c>
      <c r="S33" s="8" t="str">
        <f t="shared" si="15"/>
        <v>5</v>
      </c>
      <c r="T33" s="8">
        <v>7</v>
      </c>
      <c r="U33" s="8">
        <f t="shared" si="16"/>
        <v>0</v>
      </c>
      <c r="V33" s="9">
        <f t="shared" si="17"/>
        <v>0</v>
      </c>
      <c r="W33" s="9">
        <f t="shared" si="18"/>
        <v>5.7991946977686726E-2</v>
      </c>
      <c r="X33" s="10">
        <f t="shared" si="19"/>
        <v>5.7991946977686726E-2</v>
      </c>
      <c r="Y33" s="8"/>
      <c r="Z33" s="8"/>
      <c r="AA33" s="8"/>
      <c r="AB33" s="8"/>
      <c r="AC33" s="8"/>
      <c r="AD33" s="8"/>
    </row>
    <row r="34" spans="2:30" ht="15.6" x14ac:dyDescent="0.3">
      <c r="B34" s="11" t="s">
        <v>23</v>
      </c>
      <c r="C34" s="8" t="str">
        <f t="shared" si="10"/>
        <v>-</v>
      </c>
      <c r="D34" s="8">
        <v>8</v>
      </c>
      <c r="E34" s="8">
        <f t="shared" si="11"/>
        <v>0</v>
      </c>
      <c r="F34" s="9">
        <f t="shared" si="12"/>
        <v>0</v>
      </c>
      <c r="G34" s="9">
        <f t="shared" si="13"/>
        <v>5.1152522447381332E-2</v>
      </c>
      <c r="H34" s="10">
        <f t="shared" si="14"/>
        <v>5.1152522447381332E-2</v>
      </c>
      <c r="I34" s="8"/>
      <c r="J34" s="8"/>
      <c r="K34" s="8"/>
      <c r="L34" s="8"/>
      <c r="M34" s="8"/>
      <c r="N34" s="8"/>
      <c r="O34" s="8"/>
      <c r="P34" s="8"/>
      <c r="Q34" s="8"/>
      <c r="R34" s="11" t="s">
        <v>24</v>
      </c>
      <c r="S34" s="8" t="str">
        <f t="shared" si="15"/>
        <v>-</v>
      </c>
      <c r="T34" s="8">
        <v>8</v>
      </c>
      <c r="U34" s="8">
        <f t="shared" si="16"/>
        <v>0</v>
      </c>
      <c r="V34" s="9">
        <f t="shared" si="17"/>
        <v>0</v>
      </c>
      <c r="W34" s="9">
        <f t="shared" si="18"/>
        <v>5.1152522447381332E-2</v>
      </c>
      <c r="X34" s="10">
        <f t="shared" si="19"/>
        <v>5.1152522447381332E-2</v>
      </c>
      <c r="Y34" s="8"/>
      <c r="Z34" s="8"/>
      <c r="AA34" s="8"/>
      <c r="AB34" s="8"/>
      <c r="AC34" s="8"/>
      <c r="AD34" s="8"/>
    </row>
    <row r="35" spans="2:30" ht="15.6" x14ac:dyDescent="0.3">
      <c r="B35" s="11" t="s">
        <v>25</v>
      </c>
      <c r="C35" s="8" t="str">
        <f t="shared" si="10"/>
        <v>1</v>
      </c>
      <c r="D35" s="8">
        <v>9</v>
      </c>
      <c r="E35" s="8">
        <f t="shared" si="11"/>
        <v>0</v>
      </c>
      <c r="F35" s="9">
        <f t="shared" si="12"/>
        <v>0</v>
      </c>
      <c r="G35" s="9">
        <f t="shared" si="13"/>
        <v>4.5757490560675129E-2</v>
      </c>
      <c r="H35" s="10">
        <f t="shared" si="14"/>
        <v>4.5757490560675129E-2</v>
      </c>
      <c r="I35" s="8"/>
      <c r="J35" s="8"/>
      <c r="K35" s="8"/>
      <c r="L35" s="8"/>
      <c r="M35" s="8"/>
      <c r="N35" s="8"/>
      <c r="O35" s="8"/>
      <c r="P35" s="8"/>
      <c r="Q35" s="8"/>
      <c r="R35" s="11" t="s">
        <v>26</v>
      </c>
      <c r="S35" s="8" t="str">
        <f t="shared" si="15"/>
        <v>1</v>
      </c>
      <c r="T35" s="8">
        <v>9</v>
      </c>
      <c r="U35" s="8">
        <f t="shared" si="16"/>
        <v>0</v>
      </c>
      <c r="V35" s="9">
        <f t="shared" si="17"/>
        <v>0</v>
      </c>
      <c r="W35" s="9">
        <f t="shared" si="18"/>
        <v>4.5757490560675129E-2</v>
      </c>
      <c r="X35" s="10">
        <f t="shared" si="19"/>
        <v>4.5757490560675129E-2</v>
      </c>
      <c r="Y35" s="8"/>
      <c r="Z35" s="8"/>
      <c r="AA35" s="8"/>
      <c r="AB35" s="8"/>
      <c r="AC35" s="8"/>
      <c r="AD35" s="8"/>
    </row>
    <row r="36" spans="2:30" ht="15.6" x14ac:dyDescent="0.3">
      <c r="B36" s="11" t="s">
        <v>27</v>
      </c>
      <c r="C36" s="8" t="str">
        <f t="shared" si="10"/>
        <v>3</v>
      </c>
      <c r="D36" s="8"/>
      <c r="E36" s="8">
        <f>SUM(E27:E35)</f>
        <v>20</v>
      </c>
      <c r="F36" s="9"/>
      <c r="G36" s="9"/>
      <c r="H36" s="9"/>
      <c r="I36" s="8"/>
      <c r="J36" s="8"/>
      <c r="K36" s="8"/>
      <c r="L36" s="8"/>
      <c r="M36" s="8"/>
      <c r="N36" s="8"/>
      <c r="O36" s="8"/>
      <c r="P36" s="8"/>
      <c r="Q36" s="8"/>
      <c r="R36" s="11" t="s">
        <v>28</v>
      </c>
      <c r="S36" s="8" t="str">
        <f t="shared" si="15"/>
        <v>6</v>
      </c>
      <c r="T36" s="8"/>
      <c r="U36" s="8">
        <f>SUM(U27:U35)</f>
        <v>20</v>
      </c>
      <c r="V36" s="8"/>
      <c r="W36" s="8"/>
      <c r="X36" s="8"/>
      <c r="Y36" s="8"/>
      <c r="Z36" s="8"/>
      <c r="AA36" s="8"/>
      <c r="AB36" s="8"/>
      <c r="AC36" s="8"/>
      <c r="AD36" s="8"/>
    </row>
    <row r="37" spans="2:30" ht="15.6" x14ac:dyDescent="0.3">
      <c r="B37" s="11" t="s">
        <v>29</v>
      </c>
      <c r="C37" s="8" t="str">
        <f t="shared" si="10"/>
        <v>4</v>
      </c>
      <c r="D37" s="8"/>
      <c r="E37" s="8"/>
      <c r="F37" s="9"/>
      <c r="G37" s="9"/>
      <c r="H37" s="9"/>
      <c r="I37" s="8"/>
      <c r="J37" s="8"/>
      <c r="K37" s="8"/>
      <c r="L37" s="8"/>
      <c r="M37" s="8"/>
      <c r="N37" s="8"/>
      <c r="O37" s="8"/>
      <c r="P37" s="8"/>
      <c r="Q37" s="8"/>
      <c r="R37" s="11" t="s">
        <v>30</v>
      </c>
      <c r="S37" s="8" t="str">
        <f t="shared" si="15"/>
        <v>5</v>
      </c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2:30" ht="15.6" x14ac:dyDescent="0.3">
      <c r="B38" s="11" t="s">
        <v>31</v>
      </c>
      <c r="C38" s="8" t="str">
        <f t="shared" si="10"/>
        <v>3</v>
      </c>
      <c r="D38" s="8"/>
      <c r="E38" s="8"/>
      <c r="F38" s="9"/>
      <c r="G38" s="9"/>
      <c r="H38" s="9"/>
      <c r="I38" s="8"/>
      <c r="J38" s="8"/>
      <c r="K38" s="8"/>
      <c r="L38" s="8"/>
      <c r="M38" s="8"/>
      <c r="N38" s="8"/>
      <c r="O38" s="8"/>
      <c r="P38" s="8"/>
      <c r="Q38" s="8"/>
      <c r="R38" s="11" t="s">
        <v>32</v>
      </c>
      <c r="S38" s="8" t="str">
        <f t="shared" si="15"/>
        <v>4</v>
      </c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2:30" ht="15.6" x14ac:dyDescent="0.3">
      <c r="B39" s="11" t="s">
        <v>33</v>
      </c>
      <c r="C39" s="8" t="str">
        <f t="shared" si="10"/>
        <v>1</v>
      </c>
      <c r="D39" s="8"/>
      <c r="E39" s="8"/>
      <c r="F39" s="9"/>
      <c r="G39" s="9"/>
      <c r="H39" s="9"/>
      <c r="I39" s="8"/>
      <c r="J39" s="8"/>
      <c r="K39" s="8"/>
      <c r="L39" s="8"/>
      <c r="M39" s="8"/>
      <c r="N39" s="8"/>
      <c r="O39" s="8"/>
      <c r="P39" s="8"/>
      <c r="Q39" s="8"/>
      <c r="R39" s="11" t="s">
        <v>33</v>
      </c>
      <c r="S39" s="8" t="str">
        <f t="shared" si="15"/>
        <v>1</v>
      </c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2:30" ht="15.6" x14ac:dyDescent="0.3">
      <c r="B40" s="11" t="s">
        <v>9</v>
      </c>
      <c r="C40" s="8" t="str">
        <f t="shared" si="10"/>
        <v>-</v>
      </c>
      <c r="D40" s="8"/>
      <c r="E40" s="8"/>
      <c r="F40" s="9"/>
      <c r="G40" s="9"/>
      <c r="H40" s="9"/>
      <c r="I40" s="8"/>
      <c r="J40" s="8"/>
      <c r="K40" s="8"/>
      <c r="L40" s="8"/>
      <c r="M40" s="8"/>
      <c r="N40" s="8"/>
      <c r="O40" s="8"/>
      <c r="P40" s="8"/>
      <c r="Q40" s="8"/>
      <c r="R40" s="11" t="s">
        <v>9</v>
      </c>
      <c r="S40" s="8" t="str">
        <f t="shared" si="15"/>
        <v>-</v>
      </c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2:30" ht="15.6" x14ac:dyDescent="0.3">
      <c r="B41" s="11" t="s">
        <v>34</v>
      </c>
      <c r="C41" s="8" t="str">
        <f t="shared" si="10"/>
        <v>4</v>
      </c>
      <c r="D41" s="8"/>
      <c r="E41" s="8"/>
      <c r="F41" s="9"/>
      <c r="G41" s="9"/>
      <c r="H41" s="9"/>
      <c r="I41" s="8"/>
      <c r="J41" s="8"/>
      <c r="K41" s="8"/>
      <c r="L41" s="8"/>
      <c r="M41" s="8"/>
      <c r="N41" s="8"/>
      <c r="O41" s="8"/>
      <c r="P41" s="8"/>
      <c r="Q41" s="8"/>
      <c r="R41" s="11" t="s">
        <v>35</v>
      </c>
      <c r="S41" s="8" t="str">
        <f t="shared" si="15"/>
        <v>4</v>
      </c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2:30" ht="15.6" x14ac:dyDescent="0.3">
      <c r="B42" s="11" t="s">
        <v>36</v>
      </c>
      <c r="C42" s="8" t="str">
        <f t="shared" si="10"/>
        <v>1</v>
      </c>
      <c r="D42" s="8"/>
      <c r="E42" s="8"/>
      <c r="F42" s="9"/>
      <c r="G42" s="9"/>
      <c r="H42" s="9"/>
      <c r="I42" s="8"/>
      <c r="J42" s="8"/>
      <c r="K42" s="8"/>
      <c r="L42" s="8"/>
      <c r="M42" s="8"/>
      <c r="N42" s="8"/>
      <c r="O42" s="8"/>
      <c r="P42" s="8"/>
      <c r="Q42" s="8"/>
      <c r="R42" s="11" t="s">
        <v>37</v>
      </c>
      <c r="S42" s="8" t="str">
        <f t="shared" si="15"/>
        <v>1</v>
      </c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2:30" ht="15.6" x14ac:dyDescent="0.3">
      <c r="B43" s="11" t="s">
        <v>38</v>
      </c>
      <c r="C43" s="8" t="str">
        <f t="shared" si="10"/>
        <v>1</v>
      </c>
      <c r="D43" s="8"/>
      <c r="E43" s="8"/>
      <c r="F43" s="9"/>
      <c r="G43" s="9"/>
      <c r="H43" s="9"/>
      <c r="I43" s="8"/>
      <c r="J43" s="8"/>
      <c r="K43" s="8"/>
      <c r="L43" s="8"/>
      <c r="M43" s="8"/>
      <c r="N43" s="8"/>
      <c r="O43" s="8"/>
      <c r="P43" s="8"/>
      <c r="Q43" s="8"/>
      <c r="R43" s="11" t="s">
        <v>39</v>
      </c>
      <c r="S43" s="8" t="str">
        <f t="shared" si="15"/>
        <v>1</v>
      </c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2:30" ht="15.6" x14ac:dyDescent="0.3">
      <c r="B44" s="11" t="s">
        <v>40</v>
      </c>
      <c r="C44" s="8" t="str">
        <f t="shared" si="10"/>
        <v>2</v>
      </c>
      <c r="D44" s="8"/>
      <c r="E44" s="8"/>
      <c r="F44" s="9"/>
      <c r="G44" s="9"/>
      <c r="H44" s="9"/>
      <c r="I44" s="8"/>
      <c r="J44" s="8"/>
      <c r="K44" s="8"/>
      <c r="L44" s="8"/>
      <c r="M44" s="8"/>
      <c r="N44" s="8"/>
      <c r="O44" s="8"/>
      <c r="P44" s="8"/>
      <c r="Q44" s="8"/>
      <c r="R44" s="11" t="s">
        <v>40</v>
      </c>
      <c r="S44" s="8" t="str">
        <f t="shared" si="15"/>
        <v>2</v>
      </c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2:30" ht="15.6" x14ac:dyDescent="0.3">
      <c r="B45" s="11" t="s">
        <v>41</v>
      </c>
      <c r="C45" s="8" t="str">
        <f t="shared" si="10"/>
        <v>3</v>
      </c>
      <c r="D45" s="8"/>
      <c r="E45" s="8"/>
      <c r="F45" s="9"/>
      <c r="G45" s="9"/>
      <c r="H45" s="9"/>
      <c r="I45" s="8"/>
      <c r="J45" s="8"/>
      <c r="K45" s="8"/>
      <c r="L45" s="8"/>
      <c r="M45" s="8"/>
      <c r="N45" s="8"/>
      <c r="O45" s="8"/>
      <c r="P45" s="8"/>
      <c r="Q45" s="8"/>
      <c r="R45" s="11" t="s">
        <v>42</v>
      </c>
      <c r="S45" s="8" t="str">
        <f t="shared" si="15"/>
        <v>3</v>
      </c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2:30" ht="15.6" x14ac:dyDescent="0.3">
      <c r="B46" s="11" t="s">
        <v>41</v>
      </c>
      <c r="C46" s="8" t="str">
        <f t="shared" si="10"/>
        <v>3</v>
      </c>
      <c r="D46" s="8"/>
      <c r="E46" s="8"/>
      <c r="F46" s="9"/>
      <c r="G46" s="9"/>
      <c r="H46" s="9"/>
      <c r="I46" s="8"/>
      <c r="J46" s="8"/>
      <c r="K46" s="8"/>
      <c r="L46" s="8"/>
      <c r="M46" s="8"/>
      <c r="N46" s="8"/>
      <c r="O46" s="8"/>
      <c r="P46" s="8"/>
      <c r="Q46" s="8"/>
      <c r="R46" s="11" t="s">
        <v>42</v>
      </c>
      <c r="S46" s="8" t="str">
        <f t="shared" si="15"/>
        <v>3</v>
      </c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2:30" ht="15.6" x14ac:dyDescent="0.3">
      <c r="B47" s="11" t="s">
        <v>41</v>
      </c>
      <c r="C47" s="8" t="str">
        <f t="shared" si="10"/>
        <v>3</v>
      </c>
      <c r="D47" s="8"/>
      <c r="E47" s="8"/>
      <c r="F47" s="9"/>
      <c r="G47" s="9"/>
      <c r="H47" s="9"/>
      <c r="I47" s="8"/>
      <c r="J47" s="8"/>
      <c r="K47" s="8"/>
      <c r="L47" s="8"/>
      <c r="M47" s="8"/>
      <c r="N47" s="8"/>
      <c r="O47" s="8"/>
      <c r="P47" s="8"/>
      <c r="Q47" s="8"/>
      <c r="R47" s="11" t="s">
        <v>42</v>
      </c>
      <c r="S47" s="8" t="str">
        <f t="shared" si="15"/>
        <v>3</v>
      </c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2:30" ht="15.6" x14ac:dyDescent="0.3">
      <c r="B48" s="11" t="s">
        <v>43</v>
      </c>
      <c r="C48" s="8" t="str">
        <f t="shared" si="10"/>
        <v>3</v>
      </c>
      <c r="D48" s="8"/>
      <c r="E48" s="8"/>
      <c r="F48" s="9"/>
      <c r="G48" s="9"/>
      <c r="H48" s="9"/>
      <c r="I48" s="8"/>
      <c r="J48" s="8"/>
      <c r="K48" s="8"/>
      <c r="L48" s="8"/>
      <c r="M48" s="8"/>
      <c r="N48" s="8"/>
      <c r="O48" s="8"/>
      <c r="P48" s="8"/>
      <c r="Q48" s="8"/>
      <c r="R48" s="11" t="s">
        <v>44</v>
      </c>
      <c r="S48" s="8" t="str">
        <f t="shared" si="15"/>
        <v>3</v>
      </c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2:30" x14ac:dyDescent="0.25"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2:30" x14ac:dyDescent="0.25"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  <row r="51" spans="2:30" x14ac:dyDescent="0.25"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</row>
    <row r="52" spans="2:30" x14ac:dyDescent="0.25"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</row>
    <row r="53" spans="2:30" x14ac:dyDescent="0.25"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</row>
    <row r="54" spans="2:30" x14ac:dyDescent="0.25"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</row>
    <row r="55" spans="2:30" x14ac:dyDescent="0.25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</row>
    <row r="56" spans="2:30" x14ac:dyDescent="0.25"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</row>
    <row r="57" spans="2:30" x14ac:dyDescent="0.25"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KAUSHIKI choubey</dc:creator>
  <cp:lastModifiedBy>KAUSHIKI choubey</cp:lastModifiedBy>
  <dcterms:created xsi:type="dcterms:W3CDTF">2025-11-12T14:36:11Z</dcterms:created>
  <dcterms:modified xsi:type="dcterms:W3CDTF">2025-11-12T14:37:20Z</dcterms:modified>
</cp:coreProperties>
</file>